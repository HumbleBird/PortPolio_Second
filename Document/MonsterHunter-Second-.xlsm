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C4751452-8C53-478F-B9FB-81DCAC9F674F}" xr6:coauthVersionLast="47" xr6:coauthVersionMax="47" xr10:uidLastSave="{00000000-0000-0000-0000-000000000000}"/>
  <bookViews>
    <workbookView xWindow="28680" yWindow="60" windowWidth="29040" windowHeight="15840" tabRatio="999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Armor" sheetId="18" r:id="rId15"/>
    <sheet name="Consumable" sheetId="19" r:id="rId16"/>
    <sheet name="Dialogue" sheetId="22" r:id="rId17"/>
    <sheet name="Shop" sheetId="23" r:id="rId1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1" l="1"/>
  <c r="C3" i="11"/>
  <c r="D13" i="6"/>
  <c r="D9" i="6"/>
  <c r="D10" i="6"/>
  <c r="D11" i="6"/>
  <c r="D12" i="6"/>
  <c r="D4" i="6"/>
  <c r="D5" i="6"/>
  <c r="D6" i="6"/>
  <c r="D7" i="6"/>
  <c r="D8" i="6"/>
  <c r="D3" i="6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1 소형 무기
2 대형 무기
3 원거리 무기
4 촉매
5 방패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<sst xmlns="http://schemas.openxmlformats.org/spreadsheetml/2006/main" count="283" uniqueCount="226">
  <si>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</si>
  <si>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</si>
  <si>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</si>
  <si>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</si>
  <si>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</si>
  <si>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</si>
  <si>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</si>
  <si>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</si>
  <si>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</si>
  <si>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</si>
  <si>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</si>
  <si>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</si>
  <si>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</si>
  <si>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</si>
  <si>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</si>
  <si>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</si>
  <si>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</si>
  <si>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</si>
  <si>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</si>
  <si>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</si>
  <si>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</si>
  <si>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</si>
  <si>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</si>
  <si>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</si>
  <si>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</si>
  <si>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</si>
  <si>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</si>
  <si>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</si>
  <si>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</si>
  <si>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</si>
  <si>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</si>
  <si>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</si>
  <si>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</si>
  <si>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</si>
  <si>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</si>
  <si>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</si>
  <si>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</si>
  <si>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</si>
  <si>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</si>
  <si>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</si>
  <si>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</si>
  <si>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</si>
  <si>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</si>
  <si>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</si>
  <si>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</si>
  <si>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</si>
  <si>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</si>
  <si>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</si>
  <si>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</si>
  <si>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</si>
  <si>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</si>
  <si>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</si>
  <si>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</si>
  <si>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</si>
  <si>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</si>
  <si>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</si>
  <si>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</si>
  <si>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</si>
  <si>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</si>
  <si>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</si>
  <si>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</si>
  <si>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</si>
  <si>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</si>
  <si>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</si>
  <si>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</si>
  <si>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</si>
  <si>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</si>
  <si>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</si>
  <si>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</si>
  <si>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</si>
  <si>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</si>
  <si>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</si>
  <si>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</si>
  <si>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</si>
  <si>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</si>
  <si>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</si>
  <si>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</si>
  <si>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</si>
  <si>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</si>
  <si>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</si>
  <si>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</si>
  <si>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</si>
  <si>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</si>
  <si>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</si>
  <si>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</si>
  <si>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</si>
  <si>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</si>
  <si>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</si>
  <si>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</si>
  <si>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</si>
  <si>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</si>
  <si>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</si>
  <si>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</si>
  <si>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</si>
  <si>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</si>
  <si>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</si>
  <si>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</si>
  <si>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</si>
  <si>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</si>
  <si>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</si>
  <si>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</si>
  <si>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</si>
  <si>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</si>
  <si>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</si>
  <si>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</si>
  <si>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가장 기본적인 론델검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</si>
  <si>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</si>
  <si>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</si>
  <si>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</si>
  <si>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</si>
  <si>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</si>
  <si>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</si>
  <si>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</si>
  <si>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</si>
  <si>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</si>
  <si>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</si>
  <si>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</si>
  <si>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</si>
  <si>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</si>
  <si>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</si>
  <si>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</si>
  <si>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</si>
  <si>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</si>
  <si>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</si>
  <si>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</si>
  <si>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</si>
  <si>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</si>
  <si>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</si>
  <si>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</si>
  <si>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</si>
  <si>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</si>
  <si>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</si>
  <si>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</si>
  <si>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</si>
  <si>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</si>
  <si>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</si>
  <si>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</si>
  <si>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</si>
  <si>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</si>
  <si>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</si>
  <si>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</si>
  <si>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</si>
  <si>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</si>
  <si>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</si>
  <si>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</si>
  <si>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</si>
  <si>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</si>
  <si>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</si>
  <si>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</si>
  <si>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</si>
  <si>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</si>
  <si>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</si>
  <si>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</si>
  <si>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</si>
  <si>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</si>
  <si>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</si>
  <si>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</si>
  <si>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</si>
  <si>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</si>
  <si>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</si>
  <si>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</si>
  <si>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</si>
  <si>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</si>
  <si>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</si>
  <si>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</si>
  <si>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</si>
  <si>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</si>
  <si>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</si>
  <si>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</si>
  <si>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</si>
  <si>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</si>
  <si>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</si>
  <si>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</si>
  <si>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</si>
  <si>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</si>
  <si>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</si>
  <si>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</si>
  <si>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</si>
  <si>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</si>
  <si>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</si>
  <si>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</si>
  <si>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</si>
  <si>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</si>
  <si>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</si>
  <si>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</si>
  <si>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Rotten Ghru Dagger</t>
  </si>
  <si>
    <t>Shortsword</t>
  </si>
  <si>
    <t>Broken Straight Sword</t>
  </si>
  <si>
    <t>Catarina Leggings</t>
  </si>
  <si>
    <t>Catarina Gauntlets</t>
  </si>
  <si>
    <t>Catarina Armor</t>
  </si>
  <si>
    <t>Catarina Helm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</si>
  <si>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</si>
  <si>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</si>
  <si>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</si>
  <si>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</si>
  <si>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</si>
  <si>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</si>
  <si>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</si>
  <si>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</si>
  <si>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</si>
  <si>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</si>
  <si>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Item/Weapon/Katana</t>
    <phoneticPr fontId="1" type="noConversion"/>
  </si>
  <si>
    <t>동양의 오래된 검</t>
    <phoneticPr fontId="1" type="noConversion"/>
  </si>
  <si>
    <t>Item/Weapon/Broadsword</t>
    <phoneticPr fontId="1" type="noConversion"/>
  </si>
  <si>
    <t>날카롭다</t>
    <phoneticPr fontId="1" type="noConversion"/>
  </si>
  <si>
    <t>Item/Shield/Crude Shield</t>
    <phoneticPr fontId="1" type="noConversion"/>
  </si>
  <si>
    <t>낡은 방패</t>
    <phoneticPr fontId="1" type="noConversion"/>
  </si>
  <si>
    <t>Damage Reduction</t>
    <phoneticPr fontId="1" type="noConversion"/>
  </si>
  <si>
    <t>피해 감소율 (%)</t>
    <phoneticPr fontId="1" type="noConversion"/>
  </si>
  <si>
    <t>Dagger</t>
    <phoneticPr fontId="1" type="noConversion"/>
  </si>
  <si>
    <t>Katana</t>
  </si>
  <si>
    <t>Broadsword</t>
    <phoneticPr fontId="1" type="noConversion"/>
  </si>
  <si>
    <t>Broken Straight Sword</t>
    <phoneticPr fontId="1" type="noConversion"/>
  </si>
  <si>
    <t>Crude Shield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</si>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</sst>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85</v>
      </c>
      <c r="B1" t="s">
        <v>129</v>
      </c>
      <c r="C1" t="s">
        <v>130</v>
      </c>
      <c r="D1" t="s">
        <v>131</v>
      </c>
      <c r="F1" t="s">
        <v>132</v>
      </c>
    </row>
    <row r="2" spans="1:14" x14ac:dyDescent="0.3">
      <c r="A2" t="s">
        <v>99</v>
      </c>
      <c r="B2" t="s">
        <v>100</v>
      </c>
      <c r="C2" t="s">
        <v>133</v>
      </c>
      <c r="D2" t="s">
        <v>134</v>
      </c>
      <c r="F2" t="s">
        <v>135</v>
      </c>
    </row>
    <row r="3" spans="1:14" x14ac:dyDescent="0.3">
      <c r="A3" t="s">
        <v>136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137</v>
      </c>
      <c r="J3">
        <v>0</v>
      </c>
    </row>
    <row r="4" spans="1:14" x14ac:dyDescent="0.3">
      <c r="A4" t="s">
        <v>138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139</v>
      </c>
      <c r="J4">
        <v>1</v>
      </c>
      <c r="K4" t="s">
        <v>140</v>
      </c>
    </row>
    <row r="5" spans="1:14" x14ac:dyDescent="0.3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141</v>
      </c>
    </row>
    <row r="6" spans="1:14" x14ac:dyDescent="0.3">
      <c r="A6" t="s">
        <v>155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142</v>
      </c>
    </row>
    <row r="7" spans="1:14" x14ac:dyDescent="0.3">
      <c r="A7" t="s">
        <v>156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143</v>
      </c>
    </row>
    <row r="8" spans="1:14" x14ac:dyDescent="0.3">
      <c r="A8" t="s">
        <v>158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144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145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159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157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160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146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147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148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149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150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151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152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153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154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27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20</v>
      </c>
      <c r="B1" t="s">
        <v>21</v>
      </c>
      <c r="C1" t="s">
        <v>22</v>
      </c>
      <c r="D1" t="s">
        <v>23</v>
      </c>
    </row>
    <row r="2" spans="1:4" x14ac:dyDescent="0.3">
      <c r="A2" t="s">
        <v>24</v>
      </c>
      <c r="B2" t="s">
        <v>21</v>
      </c>
      <c r="C2" t="s">
        <v>22</v>
      </c>
      <c r="D2" t="s">
        <v>23</v>
      </c>
    </row>
    <row r="3" spans="1:4" x14ac:dyDescent="0.3">
      <c r="A3">
        <v>1001</v>
      </c>
      <c r="B3" t="s">
        <v>25</v>
      </c>
    </row>
    <row r="4" spans="1:4" x14ac:dyDescent="0.3">
      <c r="A4">
        <v>10001</v>
      </c>
      <c r="B4" t="s">
        <v>26</v>
      </c>
    </row>
    <row r="5" spans="1:4" x14ac:dyDescent="0.3">
      <c r="A5">
        <v>1800</v>
      </c>
      <c r="B5" t="s">
        <v>28</v>
      </c>
    </row>
    <row r="6" spans="1:4" x14ac:dyDescent="0.3">
      <c r="A6">
        <v>1100</v>
      </c>
      <c r="B6" t="s">
        <v>29</v>
      </c>
    </row>
    <row r="7" spans="1:4" x14ac:dyDescent="0.3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topLeftCell="A16" workbookViewId="0">
      <selection activeCell="C6" sqref="C6"/>
    </sheetView>
  </sheetViews>
  <sheetFormatPr defaultColWidth="9" defaultRowHeight="16.5" x14ac:dyDescent="0.3"/>
  <cols>
    <col min="1" max="2" width="9" style="1"/>
    <col min="3" max="3" width="14.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3">
      <c r="A1" s="1" t="s">
        <v>30</v>
      </c>
      <c r="B1" s="1" t="s">
        <v>34</v>
      </c>
      <c r="C1" s="1" t="s">
        <v>33</v>
      </c>
    </row>
    <row r="2" spans="1:3" x14ac:dyDescent="0.3">
      <c r="A2" s="1" t="s">
        <v>18</v>
      </c>
      <c r="B2" s="1" t="s">
        <v>35</v>
      </c>
      <c r="C2" s="1" t="s">
        <v>37</v>
      </c>
    </row>
    <row r="3" spans="1:3" x14ac:dyDescent="0.3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D17" sqref="D17"/>
    </sheetView>
  </sheetViews>
  <sheetFormatPr defaultRowHeight="16.5" x14ac:dyDescent="0.3"/>
  <cols>
    <col min="1" max="1" width="7.125" bestFit="1" customWidth="1"/>
    <col min="2" max="2" width="15.625" bestFit="1" customWidth="1"/>
    <col min="3" max="3" width="8.5" customWidth="1"/>
    <col min="4" max="4" width="35.875" style="1" bestFit="1" customWidth="1"/>
    <col min="5" max="5" width="7.125" bestFit="1" customWidth="1"/>
  </cols>
  <sheetData>
    <row r="1" spans="1:5" x14ac:dyDescent="0.3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3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3">
      <c r="A3">
        <v>101</v>
      </c>
      <c r="B3" t="s">
        <v>176</v>
      </c>
      <c r="C3" s="1">
        <v>1</v>
      </c>
      <c r="D3" s="1" t="s">
        <v>181</v>
      </c>
      <c r="E3">
        <v>1</v>
      </c>
    </row>
    <row r="4" spans="1:5" x14ac:dyDescent="0.3">
      <c r="A4">
        <v>102</v>
      </c>
      <c r="B4" t="s">
        <v>177</v>
      </c>
      <c r="C4" s="1">
        <v>2</v>
      </c>
      <c r="D4" s="1" t="s">
        <v>179</v>
      </c>
      <c r="E4">
        <v>1</v>
      </c>
    </row>
    <row r="5" spans="1:5" x14ac:dyDescent="0.3">
      <c r="A5">
        <v>103</v>
      </c>
      <c r="B5" t="s">
        <v>178</v>
      </c>
      <c r="C5" s="1">
        <v>3</v>
      </c>
      <c r="D5" s="1" t="s">
        <v>180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30</v>
      </c>
      <c r="B1" t="s">
        <v>121</v>
      </c>
      <c r="C1" t="s">
        <v>122</v>
      </c>
      <c r="D1" t="s">
        <v>123</v>
      </c>
    </row>
    <row r="2" spans="1:4" x14ac:dyDescent="0.3">
      <c r="A2" t="s">
        <v>18</v>
      </c>
      <c r="B2" t="s">
        <v>124</v>
      </c>
      <c r="C2" t="s">
        <v>125</v>
      </c>
      <c r="D2" t="s">
        <v>126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  <row r="6" spans="1:4" x14ac:dyDescent="0.3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6.5" x14ac:dyDescent="0.3"/>
  <cols>
    <col min="1" max="1" width="7.125" bestFit="1" customWidth="1"/>
    <col min="2" max="2" width="11.625" customWidth="1"/>
    <col min="3" max="3" width="10.125" customWidth="1"/>
    <col min="4" max="4" width="12.125" bestFit="1" customWidth="1"/>
    <col min="5" max="5" width="11.625" bestFit="1" customWidth="1"/>
    <col min="6" max="6" width="27" style="1" bestFit="1" customWidth="1"/>
  </cols>
  <sheetData>
    <row r="1" spans="1:7" x14ac:dyDescent="0.3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3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3">
      <c r="A3">
        <v>1001</v>
      </c>
      <c r="B3" t="s">
        <v>182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3">
      <c r="A4">
        <v>1002</v>
      </c>
      <c r="B4" t="s">
        <v>174</v>
      </c>
      <c r="C4">
        <v>1</v>
      </c>
      <c r="D4">
        <v>10000</v>
      </c>
      <c r="E4">
        <v>4</v>
      </c>
      <c r="F4" s="1" t="s">
        <v>175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E4" sqref="E4"/>
    </sheetView>
  </sheetViews>
  <sheetFormatPr defaultColWidth="9" defaultRowHeight="16.5" x14ac:dyDescent="0.3"/>
  <cols>
    <col min="1" max="6" width="9" style="1"/>
    <col min="7" max="7" width="11.375" style="1" customWidth="1"/>
    <col min="8" max="8" width="11.625" style="1" bestFit="1" customWidth="1"/>
    <col min="9" max="16384" width="9" style="1"/>
  </cols>
  <sheetData>
    <row r="1" spans="1:8" x14ac:dyDescent="0.3">
      <c r="A1" s="1" t="s">
        <v>30</v>
      </c>
      <c r="B1" s="1" t="s">
        <v>42</v>
      </c>
      <c r="C1" s="1" t="s">
        <v>127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3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3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3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3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3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3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3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3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3">
      <c r="G14" s="1">
        <v>1</v>
      </c>
      <c r="H14" s="1" t="s">
        <v>60</v>
      </c>
    </row>
    <row r="15" spans="1:8" x14ac:dyDescent="0.3">
      <c r="G15" s="1">
        <v>11</v>
      </c>
      <c r="H15" s="1" t="s">
        <v>61</v>
      </c>
    </row>
    <row r="16" spans="1:8" x14ac:dyDescent="0.3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tabSelected="1" workbookViewId="0">
      <selection activeCell="D5" sqref="D5"/>
    </sheetView>
  </sheetViews>
  <sheetFormatPr defaultRowHeight="16.5" x14ac:dyDescent="0.3"/>
  <cols>
    <col min="1" max="1" width="9.125" bestFit="1" customWidth="1"/>
    <col min="2" max="2" width="37" bestFit="1" customWidth="1"/>
    <col min="3" max="3" width="15.75" bestFit="1" customWidth="1"/>
  </cols>
  <sheetData>
    <row r="1" spans="1:3" x14ac:dyDescent="0.3">
      <c r="A1" t="s">
        <v>84</v>
      </c>
      <c r="B1" t="s">
        <v>85</v>
      </c>
      <c r="C1" t="s">
        <v>86</v>
      </c>
    </row>
    <row r="2" spans="1:3" x14ac:dyDescent="0.3">
      <c r="A2" t="s">
        <v>87</v>
      </c>
      <c r="B2" t="s">
        <v>88</v>
      </c>
      <c r="C2" t="s">
        <v>89</v>
      </c>
    </row>
    <row r="3" spans="1:3" x14ac:dyDescent="0.3">
      <c r="A3">
        <v>1</v>
      </c>
      <c r="B3" t="s">
        <v>219</v>
      </c>
      <c r="C3">
        <f>A4</f>
        <v>2</v>
      </c>
    </row>
    <row r="4" spans="1:3" x14ac:dyDescent="0.3">
      <c r="A4">
        <v>2</v>
      </c>
      <c r="B4" t="s">
        <v>220</v>
      </c>
      <c r="C4">
        <f>A5</f>
        <v>3</v>
      </c>
    </row>
    <row r="5" spans="1:3" x14ac:dyDescent="0.3">
      <c r="A5">
        <v>3</v>
      </c>
      <c r="B5" t="s">
        <v>221</v>
      </c>
      <c r="C5">
        <v>0</v>
      </c>
    </row>
    <row r="6" spans="1:3" x14ac:dyDescent="0.3">
      <c r="A6">
        <v>4</v>
      </c>
      <c r="B6" t="s">
        <v>222</v>
      </c>
      <c r="C6">
        <v>4</v>
      </c>
    </row>
    <row r="7" spans="1:3" x14ac:dyDescent="0.3">
      <c r="A7">
        <v>5</v>
      </c>
      <c r="B7" t="s">
        <v>223</v>
      </c>
      <c r="C7">
        <v>5</v>
      </c>
    </row>
    <row r="8" spans="1:3" x14ac:dyDescent="0.3">
      <c r="A8">
        <v>6</v>
      </c>
      <c r="B8" t="s">
        <v>224</v>
      </c>
      <c r="C8">
        <v>7</v>
      </c>
    </row>
    <row r="9" spans="1:3" x14ac:dyDescent="0.3">
      <c r="A9">
        <v>7</v>
      </c>
      <c r="B9" t="s">
        <v>225</v>
      </c>
      <c r="C9">
        <v>6</v>
      </c>
    </row>
    <row r="10" spans="1:3" x14ac:dyDescent="0.3">
      <c r="A10">
        <v>101</v>
      </c>
      <c r="B10" t="s">
        <v>216</v>
      </c>
      <c r="C10">
        <v>0</v>
      </c>
    </row>
    <row r="11" spans="1:3" x14ac:dyDescent="0.3">
      <c r="A11">
        <v>102</v>
      </c>
      <c r="B11" t="s">
        <v>215</v>
      </c>
      <c r="C11">
        <v>0</v>
      </c>
    </row>
    <row r="12" spans="1:3" x14ac:dyDescent="0.3">
      <c r="A12">
        <v>103</v>
      </c>
      <c r="B12" t="s">
        <v>217</v>
      </c>
      <c r="C12">
        <v>0</v>
      </c>
    </row>
    <row r="13" spans="1:3" x14ac:dyDescent="0.3">
      <c r="A13">
        <v>104</v>
      </c>
      <c r="B13" t="s">
        <v>218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3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3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M13"/>
  <sheetViews>
    <sheetView workbookViewId="0">
      <selection activeCell="A6" sqref="A6:E6"/>
    </sheetView>
  </sheetViews>
  <sheetFormatPr defaultRowHeight="16.5" x14ac:dyDescent="0.3"/>
  <cols>
    <col min="2" max="2" width="14.875" customWidth="1"/>
    <col min="3" max="3" width="8.875" bestFit="1" customWidth="1"/>
    <col min="4" max="4" width="50.625" bestFit="1" customWidth="1"/>
    <col min="5" max="5" width="25.375" bestFit="1" customWidth="1"/>
    <col min="6" max="6" width="20.625" bestFit="1" customWidth="1"/>
  </cols>
  <sheetData>
    <row r="1" spans="1:13" x14ac:dyDescent="0.3">
      <c r="A1" t="s">
        <v>84</v>
      </c>
      <c r="B1" t="s">
        <v>85</v>
      </c>
      <c r="C1" t="s">
        <v>96</v>
      </c>
      <c r="D1" t="s">
        <v>108</v>
      </c>
      <c r="E1" t="s">
        <v>97</v>
      </c>
      <c r="F1" t="s">
        <v>98</v>
      </c>
    </row>
    <row r="2" spans="1:13" x14ac:dyDescent="0.3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I2" t="s">
        <v>117</v>
      </c>
      <c r="J2" t="s">
        <v>115</v>
      </c>
      <c r="K2" t="s">
        <v>116</v>
      </c>
    </row>
    <row r="3" spans="1:13" x14ac:dyDescent="0.3">
      <c r="A3">
        <v>1</v>
      </c>
      <c r="B3" t="s">
        <v>183</v>
      </c>
      <c r="C3">
        <v>1</v>
      </c>
      <c r="D3" t="str">
        <f>IF(C3 = K$3, J$3, IF(C3 = K$4, J$4, J$5))&amp;B3</f>
        <v>Art/Textures/UI/Item/Weapon/Dagger</v>
      </c>
      <c r="F3" t="s">
        <v>105</v>
      </c>
      <c r="I3" t="s">
        <v>118</v>
      </c>
      <c r="J3" t="s">
        <v>110</v>
      </c>
      <c r="K3">
        <v>1</v>
      </c>
      <c r="M3" t="s">
        <v>111</v>
      </c>
    </row>
    <row r="4" spans="1:13" x14ac:dyDescent="0.3">
      <c r="A4">
        <v>2</v>
      </c>
      <c r="B4" t="s">
        <v>184</v>
      </c>
      <c r="C4">
        <v>1</v>
      </c>
      <c r="D4" t="str">
        <f t="shared" ref="D4:D13" si="0">IF(C4 = K$3, J$3, IF(C4 = K$4, J$4, J$5))&amp;B4</f>
        <v>Art/Textures/UI/Item/Weapon/Parrying Dagger</v>
      </c>
      <c r="I4" t="s">
        <v>119</v>
      </c>
      <c r="J4" t="s">
        <v>109</v>
      </c>
      <c r="K4">
        <v>2</v>
      </c>
      <c r="M4" t="s">
        <v>112</v>
      </c>
    </row>
    <row r="5" spans="1:13" x14ac:dyDescent="0.3">
      <c r="A5">
        <v>3</v>
      </c>
      <c r="B5" t="s">
        <v>185</v>
      </c>
      <c r="C5">
        <v>1</v>
      </c>
      <c r="D5" t="str">
        <f t="shared" si="0"/>
        <v>Art/Textures/UI/Item/Weapon/Rotten Ghru Dagger</v>
      </c>
      <c r="I5" t="s">
        <v>120</v>
      </c>
      <c r="J5" t="s">
        <v>113</v>
      </c>
      <c r="K5">
        <v>3</v>
      </c>
      <c r="M5" t="s">
        <v>114</v>
      </c>
    </row>
    <row r="6" spans="1:13" x14ac:dyDescent="0.3">
      <c r="A6">
        <v>4</v>
      </c>
      <c r="B6" t="s">
        <v>186</v>
      </c>
      <c r="C6">
        <v>1</v>
      </c>
      <c r="D6" t="str">
        <f t="shared" si="0"/>
        <v>Art/Textures/UI/Item/Weapon/Shortsword</v>
      </c>
      <c r="E6" t="s">
        <v>202</v>
      </c>
      <c r="F6" t="s">
        <v>203</v>
      </c>
    </row>
    <row r="7" spans="1:13" x14ac:dyDescent="0.3">
      <c r="A7">
        <v>5</v>
      </c>
      <c r="B7" t="s">
        <v>196</v>
      </c>
      <c r="C7">
        <v>1</v>
      </c>
      <c r="D7" t="str">
        <f t="shared" si="0"/>
        <v>Art/Textures/UI/Item/Weapon/Broadsword</v>
      </c>
      <c r="E7" t="s">
        <v>204</v>
      </c>
      <c r="F7" t="s">
        <v>205</v>
      </c>
    </row>
    <row r="8" spans="1:13" x14ac:dyDescent="0.3">
      <c r="A8">
        <v>6</v>
      </c>
      <c r="B8" t="s">
        <v>187</v>
      </c>
      <c r="C8">
        <v>1</v>
      </c>
      <c r="D8" t="str">
        <f t="shared" si="0"/>
        <v>Art/Textures/UI/Item/Weapon/Broken Straight Sword</v>
      </c>
    </row>
    <row r="9" spans="1:13" x14ac:dyDescent="0.3">
      <c r="A9">
        <v>101</v>
      </c>
      <c r="B9" t="s">
        <v>191</v>
      </c>
      <c r="C9">
        <v>2</v>
      </c>
      <c r="D9" t="str">
        <f t="shared" si="0"/>
        <v>Art/Textures/UI/Item/Armor/Catarina Helm</v>
      </c>
      <c r="E9" t="s">
        <v>206</v>
      </c>
      <c r="F9" t="s">
        <v>207</v>
      </c>
    </row>
    <row r="10" spans="1:13" x14ac:dyDescent="0.3">
      <c r="A10">
        <v>102</v>
      </c>
      <c r="B10" t="s">
        <v>190</v>
      </c>
      <c r="C10">
        <v>2</v>
      </c>
      <c r="D10" t="str">
        <f t="shared" si="0"/>
        <v>Art/Textures/UI/Item/Armor/Catarina Armor</v>
      </c>
    </row>
    <row r="11" spans="1:13" x14ac:dyDescent="0.3">
      <c r="A11">
        <v>103</v>
      </c>
      <c r="B11" t="s">
        <v>189</v>
      </c>
      <c r="C11">
        <v>2</v>
      </c>
      <c r="D11" t="str">
        <f t="shared" si="0"/>
        <v>Art/Textures/UI/Item/Armor/Catarina Gauntlets</v>
      </c>
    </row>
    <row r="12" spans="1:13" x14ac:dyDescent="0.3">
      <c r="A12">
        <v>104</v>
      </c>
      <c r="B12" t="s">
        <v>188</v>
      </c>
      <c r="C12">
        <v>2</v>
      </c>
      <c r="D12" t="str">
        <f t="shared" si="0"/>
        <v>Art/Textures/UI/Item/Armor/Catarina Leggings</v>
      </c>
    </row>
    <row r="13" spans="1:13" x14ac:dyDescent="0.3">
      <c r="A13">
        <v>201</v>
      </c>
      <c r="B13" t="s">
        <v>193</v>
      </c>
      <c r="C13">
        <v>3</v>
      </c>
      <c r="D13" t="str">
        <f t="shared" si="0"/>
        <v>Art/Textures/UI/Item/Consumable/Estus Flask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9"/>
  <sheetViews>
    <sheetView workbookViewId="0">
      <selection activeCell="D1" sqref="D1"/>
    </sheetView>
  </sheetViews>
  <sheetFormatPr defaultRowHeight="16.5" x14ac:dyDescent="0.3"/>
  <cols>
    <col min="2" max="2" width="13.125" bestFit="1" customWidth="1"/>
    <col min="3" max="3" width="12.875" bestFit="1" customWidth="1"/>
    <col min="4" max="4" width="21.75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30</v>
      </c>
      <c r="B1" t="s">
        <v>50</v>
      </c>
      <c r="C1" t="s">
        <v>90</v>
      </c>
      <c r="D1" t="s">
        <v>194</v>
      </c>
      <c r="E1" t="s">
        <v>208</v>
      </c>
    </row>
    <row r="2" spans="1:5" x14ac:dyDescent="0.3">
      <c r="A2" t="s">
        <v>18</v>
      </c>
      <c r="B2" t="s">
        <v>31</v>
      </c>
      <c r="C2" t="s">
        <v>91</v>
      </c>
      <c r="D2" t="s">
        <v>195</v>
      </c>
      <c r="E2" t="s">
        <v>209</v>
      </c>
    </row>
    <row r="3" spans="1:5" x14ac:dyDescent="0.3">
      <c r="A3">
        <v>1</v>
      </c>
      <c r="B3" t="s">
        <v>210</v>
      </c>
      <c r="C3">
        <v>1</v>
      </c>
      <c r="D3">
        <v>65</v>
      </c>
      <c r="E3">
        <v>0</v>
      </c>
    </row>
    <row r="4" spans="1:5" x14ac:dyDescent="0.3">
      <c r="A4">
        <v>2</v>
      </c>
      <c r="B4" t="s">
        <v>184</v>
      </c>
      <c r="C4">
        <v>1</v>
      </c>
      <c r="D4">
        <v>60</v>
      </c>
      <c r="E4">
        <v>0</v>
      </c>
    </row>
    <row r="5" spans="1:5" x14ac:dyDescent="0.3">
      <c r="A5">
        <v>3</v>
      </c>
      <c r="B5" t="s">
        <v>185</v>
      </c>
      <c r="C5">
        <v>1</v>
      </c>
      <c r="D5">
        <v>64</v>
      </c>
      <c r="E5">
        <v>0</v>
      </c>
    </row>
    <row r="6" spans="1:5" x14ac:dyDescent="0.3">
      <c r="A6">
        <v>4</v>
      </c>
      <c r="B6" t="s">
        <v>211</v>
      </c>
      <c r="C6">
        <v>1</v>
      </c>
      <c r="D6">
        <v>99</v>
      </c>
      <c r="E6">
        <v>0</v>
      </c>
    </row>
    <row r="7" spans="1:5" x14ac:dyDescent="0.3">
      <c r="A7">
        <v>5</v>
      </c>
      <c r="B7" t="s">
        <v>212</v>
      </c>
      <c r="C7">
        <v>1</v>
      </c>
      <c r="D7">
        <v>117</v>
      </c>
      <c r="E7">
        <v>0</v>
      </c>
    </row>
    <row r="8" spans="1:5" x14ac:dyDescent="0.3">
      <c r="A8">
        <v>6</v>
      </c>
      <c r="B8" t="s">
        <v>213</v>
      </c>
      <c r="C8">
        <v>1</v>
      </c>
      <c r="D8">
        <v>70</v>
      </c>
      <c r="E8">
        <v>0</v>
      </c>
    </row>
    <row r="9" spans="1:5" x14ac:dyDescent="0.3">
      <c r="A9">
        <v>7</v>
      </c>
      <c r="B9" t="s">
        <v>214</v>
      </c>
      <c r="C9">
        <v>5</v>
      </c>
      <c r="D9">
        <v>95</v>
      </c>
      <c r="E9">
        <v>100</v>
      </c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6.5" x14ac:dyDescent="0.3"/>
  <cols>
    <col min="2" max="2" width="18.125" bestFit="1" customWidth="1"/>
    <col min="3" max="3" width="9.5" bestFit="1" customWidth="1"/>
    <col min="4" max="4" width="24.625" bestFit="1" customWidth="1"/>
    <col min="5" max="5" width="35.125" bestFit="1" customWidth="1"/>
  </cols>
  <sheetData>
    <row r="1" spans="1:4" x14ac:dyDescent="0.3">
      <c r="A1" t="s">
        <v>30</v>
      </c>
      <c r="B1" t="s">
        <v>50</v>
      </c>
      <c r="C1" t="s">
        <v>201</v>
      </c>
      <c r="D1" t="s">
        <v>198</v>
      </c>
    </row>
    <row r="2" spans="1:4" x14ac:dyDescent="0.3">
      <c r="A2" t="s">
        <v>18</v>
      </c>
      <c r="B2" t="s">
        <v>31</v>
      </c>
      <c r="C2" t="s">
        <v>101</v>
      </c>
      <c r="D2" t="s">
        <v>199</v>
      </c>
    </row>
    <row r="3" spans="1:4" x14ac:dyDescent="0.3">
      <c r="A3">
        <v>101</v>
      </c>
      <c r="B3" t="s">
        <v>197</v>
      </c>
      <c r="C3">
        <v>1</v>
      </c>
      <c r="D3">
        <v>5.4</v>
      </c>
    </row>
    <row r="4" spans="1:4" x14ac:dyDescent="0.3">
      <c r="A4">
        <v>102</v>
      </c>
      <c r="B4" t="s">
        <v>190</v>
      </c>
      <c r="C4">
        <v>2</v>
      </c>
      <c r="D4">
        <v>18.3</v>
      </c>
    </row>
    <row r="5" spans="1:4" x14ac:dyDescent="0.3">
      <c r="A5">
        <v>103</v>
      </c>
      <c r="B5" t="s">
        <v>189</v>
      </c>
      <c r="C5">
        <v>4</v>
      </c>
      <c r="D5">
        <v>3.8</v>
      </c>
    </row>
    <row r="6" spans="1:4" x14ac:dyDescent="0.3">
      <c r="A6">
        <v>104</v>
      </c>
      <c r="B6" t="s">
        <v>188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30</v>
      </c>
      <c r="B1" t="s">
        <v>50</v>
      </c>
      <c r="C1" t="s">
        <v>92</v>
      </c>
      <c r="D1" t="s">
        <v>94</v>
      </c>
      <c r="E1" t="s">
        <v>106</v>
      </c>
    </row>
    <row r="2" spans="1:5" x14ac:dyDescent="0.3">
      <c r="A2" t="s">
        <v>18</v>
      </c>
      <c r="B2" t="s">
        <v>31</v>
      </c>
      <c r="C2" t="s">
        <v>93</v>
      </c>
      <c r="D2" t="s">
        <v>95</v>
      </c>
      <c r="E2" t="s">
        <v>107</v>
      </c>
    </row>
    <row r="3" spans="1:5" x14ac:dyDescent="0.3">
      <c r="A3">
        <v>201</v>
      </c>
      <c r="B3" t="s">
        <v>192</v>
      </c>
      <c r="C3">
        <v>2</v>
      </c>
      <c r="D3">
        <v>250</v>
      </c>
      <c r="E3">
        <v>1</v>
      </c>
    </row>
    <row r="4" spans="1:5" x14ac:dyDescent="0.3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6.5" x14ac:dyDescent="0.3"/>
  <cols>
    <col min="2" max="2" width="11.25" bestFit="1" customWidth="1"/>
    <col min="3" max="3" width="28.625" bestFit="1" customWidth="1"/>
    <col min="4" max="4" width="9" customWidth="1"/>
  </cols>
  <sheetData>
    <row r="1" spans="1:4" x14ac:dyDescent="0.3">
      <c r="A1" t="s">
        <v>30</v>
      </c>
      <c r="B1" t="s">
        <v>162</v>
      </c>
      <c r="C1" t="s">
        <v>161</v>
      </c>
      <c r="D1" t="s">
        <v>164</v>
      </c>
    </row>
    <row r="2" spans="1:4" x14ac:dyDescent="0.3">
      <c r="A2" t="s">
        <v>128</v>
      </c>
      <c r="B2" t="s">
        <v>163</v>
      </c>
      <c r="C2" t="s">
        <v>22</v>
      </c>
      <c r="D2" t="s">
        <v>165</v>
      </c>
    </row>
    <row r="3" spans="1:4" x14ac:dyDescent="0.3">
      <c r="A3">
        <v>1</v>
      </c>
      <c r="B3">
        <v>2</v>
      </c>
      <c r="C3" t="s">
        <v>167</v>
      </c>
      <c r="D3" t="s">
        <v>166</v>
      </c>
    </row>
    <row r="4" spans="1:4" x14ac:dyDescent="0.3">
      <c r="A4">
        <v>2</v>
      </c>
      <c r="B4">
        <v>3</v>
      </c>
      <c r="C4" t="s">
        <v>168</v>
      </c>
    </row>
    <row r="5" spans="1:4" x14ac:dyDescent="0.3">
      <c r="A5">
        <v>3</v>
      </c>
      <c r="B5">
        <v>0</v>
      </c>
    </row>
    <row r="6" spans="1:4" x14ac:dyDescent="0.3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6.5" x14ac:dyDescent="0.3"/>
  <cols>
    <col min="2" max="2" width="13.75" bestFit="1" customWidth="1"/>
    <col min="3" max="3" width="8.5" customWidth="1"/>
    <col min="4" max="4" width="6.75" bestFit="1" customWidth="1"/>
  </cols>
  <sheetData>
    <row r="1" spans="1:4" x14ac:dyDescent="0.3">
      <c r="A1" t="s">
        <v>30</v>
      </c>
      <c r="B1" t="s">
        <v>169</v>
      </c>
      <c r="C1" t="s">
        <v>170</v>
      </c>
      <c r="D1" t="s">
        <v>171</v>
      </c>
    </row>
    <row r="2" spans="1:4" x14ac:dyDescent="0.3">
      <c r="A2" t="s">
        <v>128</v>
      </c>
      <c r="B2" t="s">
        <v>172</v>
      </c>
      <c r="C2" t="s">
        <v>173</v>
      </c>
      <c r="D2" t="s">
        <v>126</v>
      </c>
    </row>
    <row r="3" spans="1:4" x14ac:dyDescent="0.3">
      <c r="A3">
        <v>1</v>
      </c>
      <c r="B3">
        <v>1</v>
      </c>
      <c r="C3">
        <v>100</v>
      </c>
      <c r="D3">
        <v>1</v>
      </c>
    </row>
    <row r="4" spans="1:4" x14ac:dyDescent="0.3">
      <c r="A4">
        <v>2</v>
      </c>
      <c r="B4">
        <v>2</v>
      </c>
      <c r="C4">
        <v>100</v>
      </c>
      <c r="D4">
        <v>1</v>
      </c>
    </row>
    <row r="5" spans="1:4" x14ac:dyDescent="0.3">
      <c r="A5">
        <v>3</v>
      </c>
      <c r="B5">
        <v>101</v>
      </c>
      <c r="C5">
        <v>150</v>
      </c>
      <c r="D5">
        <v>1</v>
      </c>
    </row>
    <row r="6" spans="1:4" x14ac:dyDescent="0.3">
      <c r="A6">
        <v>4</v>
      </c>
      <c r="B6">
        <v>102</v>
      </c>
      <c r="C6">
        <v>150</v>
      </c>
      <c r="D6">
        <v>1</v>
      </c>
    </row>
    <row r="7" spans="1:4" x14ac:dyDescent="0.3">
      <c r="A7">
        <v>5</v>
      </c>
      <c r="B7">
        <v>103</v>
      </c>
      <c r="C7">
        <v>150</v>
      </c>
      <c r="D7">
        <v>1</v>
      </c>
    </row>
    <row r="8" spans="1:4" x14ac:dyDescent="0.3">
      <c r="A8">
        <v>6</v>
      </c>
      <c r="B8">
        <v>104</v>
      </c>
      <c r="C8">
        <v>150</v>
      </c>
      <c r="D8">
        <v>1</v>
      </c>
    </row>
    <row r="9" spans="1:4" x14ac:dyDescent="0.3">
      <c r="A9">
        <v>7</v>
      </c>
      <c r="B9">
        <v>201</v>
      </c>
      <c r="C9">
        <v>10</v>
      </c>
      <c r="D9">
        <v>5</v>
      </c>
    </row>
    <row r="10" spans="1:4" x14ac:dyDescent="0.3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2023-04-05T15:33:14Z</dcterms:modified>
</cp:coreProperties>
</file>