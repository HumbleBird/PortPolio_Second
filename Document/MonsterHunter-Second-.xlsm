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LeeTaeSeop\Coding\Unity\PortPolio\PortPolio_Second\Document\"/>
    </mc:Choice>
  </mc:AlternateContent>
  <xr:revisionPtr revIDLastSave="0" documentId="13_ncr:1_{1BD6002D-BBA1-4009-86B4-4AA23D379896}" xr6:coauthVersionLast="47" xr6:coauthVersionMax="47" xr10:uidLastSave="{00000000-0000-0000-0000-000000000000}"/>
  <bookViews>
    <workbookView xWindow="-28920" yWindow="-1890" windowWidth="29040" windowHeight="17640" tabRatio="999" firstSheet="4" activeTab="9" xr2:uid="{00000000-000D-0000-FFFF-FFFF00000000}"/>
  </bookViews>
  <sheets>
    <sheet name="Camera" sheetId="1" r:id="rId1"/>
    <sheet name="Sound" sheetId="2" r:id="rId2"/>
    <sheet name="Loading" sheetId="4" r:id="rId3"/>
    <sheet name="Lan" sheetId="3" r:id="rId4"/>
    <sheet name="Player" sheetId="8" r:id="rId5"/>
    <sheet name="Monster" sheetId="15" r:id="rId6"/>
    <sheet name="Reward" sheetId="20" r:id="rId7"/>
    <sheet name="Boss" sheetId="12" r:id="rId8"/>
    <sheet name="Stat" sheetId="9" r:id="rId9"/>
    <sheet name="Attack" sheetId="11" r:id="rId10"/>
    <sheet name="Buff" sheetId="14" r:id="rId11"/>
    <sheet name="AI" sheetId="10" r:id="rId12"/>
    <sheet name="Item" sheetId="6" r:id="rId13"/>
    <sheet name="Weapon" sheetId="16" r:id="rId14"/>
    <sheet name="Shield" sheetId="24" r:id="rId15"/>
    <sheet name="Armor" sheetId="18" r:id="rId16"/>
    <sheet name="Consumable" sheetId="19" r:id="rId17"/>
    <sheet name="Dialogue" sheetId="22" r:id="rId18"/>
    <sheet name="Shop" sheetId="23" r:id="rId19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1" l="1"/>
  <c r="C4" i="11"/>
  <c r="D13" i="6"/>
  <c r="D9" i="6"/>
  <c r="D10" i="6"/>
  <c r="D11" i="6"/>
  <c r="D12" i="6"/>
  <c r="D4" i="6"/>
  <c r="D5" i="6"/>
  <c r="D6" i="6"/>
  <c r="D7" i="6"/>
  <c r="D8" i="6"/>
  <c r="D3" i="6"/>
  <c r="D12" i="2"/>
  <c r="D4" i="2"/>
  <c r="D5" i="2"/>
  <c r="D6" i="2"/>
  <c r="D7" i="2"/>
  <c r="D8" i="2"/>
  <c r="D9" i="2"/>
  <c r="D10" i="2"/>
  <c r="D11" i="2"/>
  <c r="D13" i="2"/>
  <c r="D14" i="2"/>
  <c r="D15" i="2"/>
  <c r="D16" i="2"/>
  <c r="D17" i="2"/>
  <c r="D18" i="2"/>
  <c r="D19" i="2"/>
  <c r="D20" i="2"/>
  <c r="D21" i="2"/>
  <c r="D22" i="2"/>
  <c r="D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M2" authorId="0" shapeId="0" xr:uid="{93A45F44-EB47-44BE-8214-B5016A7DAC66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BGM
1 Effect</t>
        </r>
      </text>
    </comment>
    <comment ref="N2" authorId="0" shapeId="0" xr:uid="{7038376E-1914-4FA7-A6F4-C4AE48A55B1E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0 1</t>
        </r>
        <r>
          <rPr>
            <sz val="9"/>
            <color indexed="81"/>
            <rFont val="돋움"/>
            <family val="3"/>
            <charset val="129"/>
          </rPr>
          <t xml:space="preserve">번
</t>
        </r>
        <r>
          <rPr>
            <sz val="9"/>
            <color indexed="81"/>
            <rFont val="Tahoma"/>
            <family val="2"/>
          </rPr>
          <t>1 Loop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1: </t>
        </r>
        <r>
          <rPr>
            <sz val="9"/>
            <color indexed="81"/>
            <rFont val="돋움"/>
            <family val="3"/>
            <charset val="129"/>
          </rPr>
          <t xml:space="preserve">모든곳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B1" authorId="0" shapeId="0" xr:uid="{E84C0A62-EEE5-4AAD-8703-FD016A5AFDA9}">
      <text>
        <r>
          <rPr>
            <b/>
            <sz val="9"/>
            <color indexed="81"/>
            <rFont val="돋움"/>
            <family val="3"/>
            <charset val="129"/>
          </rPr>
          <t xml:space="preserve">1 Warrior
2 Knight
3 Wanderer
4 Thief
5 Bandit
6 Hunter
7 Sorcerer
8 Pyromancer
9 Cleric
10 Deprived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C71B45D0-36E9-46F4-9B5F-9D3B448CB263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None = 0,
        Warior = 1,
        Knight = 2,
        Archer = 3,
        Wizard = 4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근접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>원거리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5C53A8-1284-498F-9593-E7D40301752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weapon
2 armor
3 consumable
4 Order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31A3CD10-F382-4E14-9621-A88DEDFA9C12}">
      <text>
        <r>
          <rPr>
            <b/>
            <sz val="9"/>
            <color indexed="81"/>
            <rFont val="돋움"/>
            <family val="3"/>
            <charset val="129"/>
          </rPr>
          <t>Daggers
Straight SwordsGreatswords
Ultra Greatswords
Curved Swordsuchigatana-icon.png
Katanas
Curved Greatswords
Piercing Swords
Axes
Greataxes
Hammers
Great Hammers
Fist &amp; Claws
Spears &amp; Pikes
Halberds
Reapers
Whips
Bows
Greatbows
Crossbows
Staves
Flames
Talismans
Sacred Chimes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7D26B24A-F2D4-465D-ADC6-24CB7A71DA42}">
      <text>
        <r>
          <rPr>
            <b/>
            <sz val="9"/>
            <color indexed="81"/>
            <rFont val="돋움"/>
            <family val="3"/>
            <charset val="129"/>
          </rPr>
          <t>Samll = 1,
Standard = 2,
Greatshield = 3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36F77077-DFC9-44AA-B027-B813F9FE2D44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Helmet = 1,
Armor = 2,
Pant = 3,
Gloves = 4,
Ring = 5,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BB3D2657-C3E6-47EC-9546-DFCD11F694FC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3.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4.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5.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6. </t>
        </r>
        <r>
          <rPr>
            <sz val="9"/>
            <color indexed="81"/>
            <rFont val="돋움"/>
            <family val="3"/>
            <charset val="129"/>
          </rPr>
          <t>방어력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7. </t>
        </r>
        <r>
          <rPr>
            <sz val="9"/>
            <color indexed="81"/>
            <rFont val="돋움"/>
            <family val="3"/>
            <charset val="129"/>
          </rPr>
          <t>이동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속도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</t>
        </r>
      </text>
    </comment>
  </commentList>
</comments>
</file>

<file path=xl/sharedStrings.xml><?xml version="1.0" encoding="utf-8"?>
<sst xmlns="http://schemas.openxmlformats.org/spreadsheetml/2006/main" count="293" uniqueCount="226">
  <si>
    <t>Camera_Id</t>
    <phoneticPr fontId="1" type="noConversion"/>
  </si>
  <si>
    <t>Delay</t>
    <phoneticPr fontId="1" type="noConversion"/>
  </si>
  <si>
    <t>Shake_Time</t>
    <phoneticPr fontId="1" type="noConversion"/>
  </si>
  <si>
    <t>Shake_X</t>
    <phoneticPr fontId="1" type="noConversion"/>
  </si>
  <si>
    <t>Shake_Y</t>
    <phoneticPr fontId="1" type="noConversion"/>
  </si>
  <si>
    <t>Shake_Spd</t>
    <phoneticPr fontId="1" type="noConversion"/>
  </si>
  <si>
    <t>Damping</t>
    <phoneticPr fontId="1" type="noConversion"/>
  </si>
  <si>
    <t>카메라 Id</t>
    <phoneticPr fontId="1" type="noConversion"/>
  </si>
  <si>
    <t>시작딜레이</t>
    <phoneticPr fontId="1" type="noConversion"/>
  </si>
  <si>
    <t>쉐이크시간</t>
    <phoneticPr fontId="1" type="noConversion"/>
  </si>
  <si>
    <t>Max_Shake_Count</t>
    <phoneticPr fontId="1" type="noConversion"/>
  </si>
  <si>
    <t>쉐이크감도_X</t>
    <phoneticPr fontId="1" type="noConversion"/>
  </si>
  <si>
    <t>쉐이크감도_Y</t>
    <phoneticPr fontId="1" type="noConversion"/>
  </si>
  <si>
    <t>쉐이크속도</t>
    <phoneticPr fontId="1" type="noConversion"/>
  </si>
  <si>
    <t>감쇄값</t>
    <phoneticPr fontId="1" type="noConversion"/>
  </si>
  <si>
    <t>최대쉐이크수</t>
    <phoneticPr fontId="1" type="noConversion"/>
  </si>
  <si>
    <t>Id</t>
    <phoneticPr fontId="1" type="noConversion"/>
  </si>
  <si>
    <t>Type</t>
    <phoneticPr fontId="1" type="noConversion"/>
  </si>
  <si>
    <t>아이디</t>
    <phoneticPr fontId="1" type="noConversion"/>
  </si>
  <si>
    <t>타입</t>
    <phoneticPr fontId="1" type="noConversion"/>
  </si>
  <si>
    <t>구분</t>
    <phoneticPr fontId="1" type="noConversion"/>
  </si>
  <si>
    <t>한국어</t>
    <phoneticPr fontId="1" type="noConversion"/>
  </si>
  <si>
    <t>영어</t>
    <phoneticPr fontId="1" type="noConversion"/>
  </si>
  <si>
    <t>일본어</t>
    <phoneticPr fontId="1" type="noConversion"/>
  </si>
  <si>
    <t>랭귀지_ID</t>
    <phoneticPr fontId="1" type="noConversion"/>
  </si>
  <si>
    <t>확인</t>
    <phoneticPr fontId="1" type="noConversion"/>
  </si>
  <si>
    <t>상점2</t>
    <phoneticPr fontId="1" type="noConversion"/>
  </si>
  <si>
    <t>Dec</t>
    <phoneticPr fontId="1" type="noConversion"/>
  </si>
  <si>
    <t>캐릭터는 남자다</t>
    <phoneticPr fontId="1" type="noConversion"/>
  </si>
  <si>
    <t>미션은 일일 미션이 최고</t>
    <phoneticPr fontId="1" type="noConversion"/>
  </si>
  <si>
    <t>Idx</t>
    <phoneticPr fontId="1" type="noConversion"/>
  </si>
  <si>
    <t>이름</t>
    <phoneticPr fontId="1" type="noConversion"/>
  </si>
  <si>
    <t>냥코스</t>
    <phoneticPr fontId="1" type="noConversion"/>
  </si>
  <si>
    <t>#Prefab_Path</t>
    <phoneticPr fontId="1" type="noConversion"/>
  </si>
  <si>
    <t>class</t>
    <phoneticPr fontId="1" type="noConversion"/>
  </si>
  <si>
    <t>직업</t>
    <phoneticPr fontId="1" type="noConversion"/>
  </si>
  <si>
    <t>Atk</t>
    <phoneticPr fontId="1" type="noConversion"/>
  </si>
  <si>
    <t>프리팹</t>
    <phoneticPr fontId="1" type="noConversion"/>
  </si>
  <si>
    <t>공격력</t>
    <phoneticPr fontId="1" type="noConversion"/>
  </si>
  <si>
    <t>체력</t>
    <phoneticPr fontId="1" type="noConversion"/>
  </si>
  <si>
    <t>스테미너</t>
    <phoneticPr fontId="1" type="noConversion"/>
  </si>
  <si>
    <t>방어력</t>
    <phoneticPr fontId="1" type="noConversion"/>
  </si>
  <si>
    <t>Hp</t>
    <phoneticPr fontId="1" type="noConversion"/>
  </si>
  <si>
    <t>Stamina</t>
    <phoneticPr fontId="1" type="noConversion"/>
  </si>
  <si>
    <t>Def</t>
    <phoneticPr fontId="1" type="noConversion"/>
  </si>
  <si>
    <t>공격 속도</t>
    <phoneticPr fontId="1" type="noConversion"/>
  </si>
  <si>
    <t>WalkSpeed</t>
    <phoneticPr fontId="1" type="noConversion"/>
  </si>
  <si>
    <t>걷는 속도</t>
    <phoneticPr fontId="1" type="noConversion"/>
  </si>
  <si>
    <t>RunSpeed</t>
    <phoneticPr fontId="1" type="noConversion"/>
  </si>
  <si>
    <t>달리기 속도</t>
    <phoneticPr fontId="1" type="noConversion"/>
  </si>
  <si>
    <t>Name</t>
    <phoneticPr fontId="1" type="noConversion"/>
  </si>
  <si>
    <t>기술 이름</t>
    <phoneticPr fontId="1" type="noConversion"/>
  </si>
  <si>
    <t>사정거리</t>
    <phoneticPr fontId="1" type="noConversion"/>
  </si>
  <si>
    <t>다음 연속기 번호</t>
    <phoneticPr fontId="1" type="noConversion"/>
  </si>
  <si>
    <t>CoolTime</t>
    <phoneticPr fontId="1" type="noConversion"/>
  </si>
  <si>
    <t>Range</t>
    <phoneticPr fontId="1" type="noConversion"/>
  </si>
  <si>
    <t>NextNum</t>
    <phoneticPr fontId="1" type="noConversion"/>
  </si>
  <si>
    <t>후딜</t>
    <phoneticPr fontId="1" type="noConversion"/>
  </si>
  <si>
    <t>Speed</t>
    <phoneticPr fontId="1" type="noConversion"/>
  </si>
  <si>
    <t>Dmg</t>
    <phoneticPr fontId="1" type="noConversion"/>
  </si>
  <si>
    <t>Player</t>
    <phoneticPr fontId="1" type="noConversion"/>
  </si>
  <si>
    <t>Monster</t>
    <phoneticPr fontId="1" type="noConversion"/>
  </si>
  <si>
    <t>RewardGold</t>
    <phoneticPr fontId="1" type="noConversion"/>
  </si>
  <si>
    <t>RewardItem</t>
    <phoneticPr fontId="1" type="noConversion"/>
  </si>
  <si>
    <t>보상 골드</t>
    <phoneticPr fontId="1" type="noConversion"/>
  </si>
  <si>
    <t>보상 아이템</t>
    <phoneticPr fontId="1" type="noConversion"/>
  </si>
  <si>
    <t>AnimName</t>
    <phoneticPr fontId="1" type="noConversion"/>
  </si>
  <si>
    <t>애니메이션 이름</t>
    <phoneticPr fontId="1" type="noConversion"/>
  </si>
  <si>
    <t>startWaitTime</t>
  </si>
  <si>
    <t>timeToRotate</t>
  </si>
  <si>
    <t>viewRadius</t>
  </si>
  <si>
    <t>viewAngle</t>
  </si>
  <si>
    <t>시작 대기 시간</t>
    <phoneticPr fontId="1" type="noConversion"/>
  </si>
  <si>
    <t>시약 밖을 탐지하는 대기 시간</t>
    <phoneticPr fontId="1" type="noConversion"/>
  </si>
  <si>
    <t>적의 시야각</t>
  </si>
  <si>
    <t>적의 시야 반경(반지름)</t>
    <phoneticPr fontId="1" type="noConversion"/>
  </si>
  <si>
    <t>AI</t>
    <phoneticPr fontId="1" type="noConversion"/>
  </si>
  <si>
    <t>AI의 ID</t>
    <phoneticPr fontId="1" type="noConversion"/>
  </si>
  <si>
    <t>Monster/Boss/Orc</t>
    <phoneticPr fontId="1" type="noConversion"/>
  </si>
  <si>
    <t>Player/Paladin</t>
    <phoneticPr fontId="1" type="noConversion"/>
  </si>
  <si>
    <t>sword and shield slash1</t>
  </si>
  <si>
    <t>Boss</t>
    <phoneticPr fontId="1" type="noConversion"/>
  </si>
  <si>
    <t>Class</t>
    <phoneticPr fontId="1" type="noConversion"/>
  </si>
  <si>
    <t>클래스</t>
    <phoneticPr fontId="1" type="noConversion"/>
  </si>
  <si>
    <t>Idx</t>
  </si>
  <si>
    <t>Name</t>
  </si>
  <si>
    <t>NextNum</t>
  </si>
  <si>
    <t>아이디</t>
  </si>
  <si>
    <t>기술 이름</t>
  </si>
  <si>
    <t>다음 연속기 번호</t>
  </si>
  <si>
    <t>WeaponType</t>
    <phoneticPr fontId="1" type="noConversion"/>
  </si>
  <si>
    <t>무기 타입</t>
    <phoneticPr fontId="1" type="noConversion"/>
  </si>
  <si>
    <t>ConsumableType</t>
    <phoneticPr fontId="1" type="noConversion"/>
  </si>
  <si>
    <t>소비 타입</t>
    <phoneticPr fontId="1" type="noConversion"/>
  </si>
  <si>
    <t>Value</t>
    <phoneticPr fontId="1" type="noConversion"/>
  </si>
  <si>
    <t>회복 수치?</t>
    <phoneticPr fontId="1" type="noConversion"/>
  </si>
  <si>
    <t>ItemType</t>
  </si>
  <si>
    <t>#Prefab</t>
  </si>
  <si>
    <t>#Dec</t>
  </si>
  <si>
    <t>이름</t>
  </si>
  <si>
    <t>타입</t>
  </si>
  <si>
    <t>장착부위</t>
  </si>
  <si>
    <t>아이콘</t>
  </si>
  <si>
    <t>프리팹</t>
  </si>
  <si>
    <t>설명</t>
  </si>
  <si>
    <t>가장 기본적인 론델검</t>
  </si>
  <si>
    <t>MaxCount</t>
    <phoneticPr fontId="1" type="noConversion"/>
  </si>
  <si>
    <t>최대 소지 개수</t>
    <phoneticPr fontId="1" type="noConversion"/>
  </si>
  <si>
    <t>Icon</t>
    <phoneticPr fontId="1" type="noConversion"/>
  </si>
  <si>
    <t>무기 경로</t>
    <phoneticPr fontId="1" type="noConversion"/>
  </si>
  <si>
    <t>아이템 경로</t>
    <phoneticPr fontId="1" type="noConversion"/>
  </si>
  <si>
    <t>소비템 경로</t>
    <phoneticPr fontId="1" type="noConversion"/>
  </si>
  <si>
    <t>경로</t>
    <phoneticPr fontId="1" type="noConversion"/>
  </si>
  <si>
    <t>번호</t>
    <phoneticPr fontId="1" type="noConversion"/>
  </si>
  <si>
    <t>종류</t>
    <phoneticPr fontId="1" type="noConversion"/>
  </si>
  <si>
    <t>무기</t>
    <phoneticPr fontId="1" type="noConversion"/>
  </si>
  <si>
    <t>아머</t>
    <phoneticPr fontId="1" type="noConversion"/>
  </si>
  <si>
    <t>소비</t>
    <phoneticPr fontId="1" type="noConversion"/>
  </si>
  <si>
    <t>Probability</t>
    <phoneticPr fontId="1" type="noConversion"/>
  </si>
  <si>
    <t>ItemId</t>
    <phoneticPr fontId="1" type="noConversion"/>
  </si>
  <si>
    <t>count</t>
    <phoneticPr fontId="1" type="noConversion"/>
  </si>
  <si>
    <t>확률</t>
    <phoneticPr fontId="1" type="noConversion"/>
  </si>
  <si>
    <t>아이템 아이디</t>
    <phoneticPr fontId="1" type="noConversion"/>
  </si>
  <si>
    <t>개수</t>
    <phoneticPr fontId="1" type="noConversion"/>
  </si>
  <si>
    <t>MP</t>
    <phoneticPr fontId="1" type="noConversion"/>
  </si>
  <si>
    <t>인덱스</t>
    <phoneticPr fontId="1" type="noConversion"/>
  </si>
  <si>
    <t>Type</t>
  </si>
  <si>
    <t>Looping_T</t>
  </si>
  <si>
    <t>Sound_Path</t>
  </si>
  <si>
    <t>#Object</t>
  </si>
  <si>
    <t>루프</t>
  </si>
  <si>
    <t>경로</t>
  </si>
  <si>
    <t>데이터 시트 전용 관리</t>
  </si>
  <si>
    <t>Player Move Walk</t>
  </si>
  <si>
    <t>Bgm/</t>
  </si>
  <si>
    <t>Player Move Run</t>
  </si>
  <si>
    <t>Effect/</t>
  </si>
  <si>
    <t>Battle/</t>
  </si>
  <si>
    <t>Item_Interaction/</t>
  </si>
  <si>
    <t>Monster/</t>
  </si>
  <si>
    <t>Player/</t>
  </si>
  <si>
    <t>Skeleton Walk</t>
  </si>
  <si>
    <t>Skeleton Run</t>
  </si>
  <si>
    <t>Drink Potion</t>
  </si>
  <si>
    <t>Input Sword</t>
  </si>
  <si>
    <t>Output Sword</t>
  </si>
  <si>
    <t>Skeleton Hit</t>
  </si>
  <si>
    <t>UI On Off Sound</t>
  </si>
  <si>
    <t>Secret Open Door</t>
  </si>
  <si>
    <t>Item Drop</t>
  </si>
  <si>
    <t>Player Dead</t>
  </si>
  <si>
    <t>Player Hit</t>
  </si>
  <si>
    <t>sword and shield slash2</t>
    <phoneticPr fontId="1" type="noConversion"/>
  </si>
  <si>
    <t>sword and shield slash3</t>
    <phoneticPr fontId="1" type="noConversion"/>
  </si>
  <si>
    <t>Skeleton Warior Attack 1</t>
  </si>
  <si>
    <t>SkeletonShieldWarrior Idle</t>
    <phoneticPr fontId="1" type="noConversion"/>
  </si>
  <si>
    <t>SkeletonShieldWarrior Dead</t>
    <phoneticPr fontId="1" type="noConversion"/>
  </si>
  <si>
    <t>Skeleton Warior Attack 2</t>
    <phoneticPr fontId="1" type="noConversion"/>
  </si>
  <si>
    <t>Text_English</t>
    <phoneticPr fontId="1" type="noConversion"/>
  </si>
  <si>
    <t>NextIdx</t>
    <phoneticPr fontId="1" type="noConversion"/>
  </si>
  <si>
    <t>다음 인덱스</t>
    <phoneticPr fontId="1" type="noConversion"/>
  </si>
  <si>
    <t>#des</t>
    <phoneticPr fontId="1" type="noConversion"/>
  </si>
  <si>
    <t>설명</t>
    <phoneticPr fontId="1" type="noConversion"/>
  </si>
  <si>
    <t>화방녀가 처음으로 플레이어를 마주쳤을 떄</t>
    <phoneticPr fontId="1" type="noConversion"/>
  </si>
  <si>
    <t>Hello, firewood from fire.</t>
  </si>
  <si>
    <t>Nice to meet you. I'm a sleep.</t>
  </si>
  <si>
    <t>ItemIdx</t>
    <phoneticPr fontId="1" type="noConversion"/>
  </si>
  <si>
    <t>Price</t>
    <phoneticPr fontId="1" type="noConversion"/>
  </si>
  <si>
    <t>Count</t>
    <phoneticPr fontId="1" type="noConversion"/>
  </si>
  <si>
    <t>아이템 인덱스</t>
    <phoneticPr fontId="1" type="noConversion"/>
  </si>
  <si>
    <t>가격</t>
    <phoneticPr fontId="1" type="noConversion"/>
  </si>
  <si>
    <t>Artorias</t>
    <phoneticPr fontId="1" type="noConversion"/>
  </si>
  <si>
    <t>Monster/Boss/Artorias</t>
    <phoneticPr fontId="1" type="noConversion"/>
  </si>
  <si>
    <t>Skeleton Warior</t>
    <phoneticPr fontId="1" type="noConversion"/>
  </si>
  <si>
    <t>Skeleton Knight</t>
    <phoneticPr fontId="1" type="noConversion"/>
  </si>
  <si>
    <t>Skeleton Archer</t>
    <phoneticPr fontId="1" type="noConversion"/>
  </si>
  <si>
    <t>Monster/Normal/SkeletonKnight</t>
    <phoneticPr fontId="1" type="noConversion"/>
  </si>
  <si>
    <t>Monster/Normal/SkeletonArcher</t>
    <phoneticPr fontId="1" type="noConversion"/>
  </si>
  <si>
    <t>Monster/Normal/SkeletonWarior</t>
    <phoneticPr fontId="1" type="noConversion"/>
  </si>
  <si>
    <t>Orc</t>
    <phoneticPr fontId="1" type="noConversion"/>
  </si>
  <si>
    <t>Dagger</t>
    <phoneticPr fontId="1" type="noConversion"/>
  </si>
  <si>
    <t>Parrying Dagger</t>
  </si>
  <si>
    <t>Rotten Ghru Dagger</t>
  </si>
  <si>
    <t>Shortsword</t>
  </si>
  <si>
    <t>Broken Straight Sword</t>
  </si>
  <si>
    <t>Catarina Leggings</t>
  </si>
  <si>
    <t>Catarina Gauntlets</t>
  </si>
  <si>
    <t>Catarina Armor</t>
  </si>
  <si>
    <t>Catarina Helm</t>
  </si>
  <si>
    <t>Estus Flask</t>
  </si>
  <si>
    <t>Estus Flask</t>
    <phoneticPr fontId="1" type="noConversion"/>
  </si>
  <si>
    <t>Physical</t>
    <phoneticPr fontId="1" type="noConversion"/>
  </si>
  <si>
    <t>물리</t>
    <phoneticPr fontId="1" type="noConversion"/>
  </si>
  <si>
    <t>Broadsword</t>
  </si>
  <si>
    <t>Catarina Helm</t>
    <phoneticPr fontId="1" type="noConversion"/>
  </si>
  <si>
    <t>Physical Resitance</t>
    <phoneticPr fontId="1" type="noConversion"/>
  </si>
  <si>
    <t>물리 방어력</t>
    <phoneticPr fontId="1" type="noConversion"/>
  </si>
  <si>
    <t>Ashen Estus Flask</t>
  </si>
  <si>
    <t>ArmorType</t>
    <phoneticPr fontId="1" type="noConversion"/>
  </si>
  <si>
    <t>Item/Weapon/Katana</t>
    <phoneticPr fontId="1" type="noConversion"/>
  </si>
  <si>
    <t>동양의 오래된 검</t>
    <phoneticPr fontId="1" type="noConversion"/>
  </si>
  <si>
    <t>Item/Weapon/Broadsword</t>
    <phoneticPr fontId="1" type="noConversion"/>
  </si>
  <si>
    <t>날카롭다</t>
    <phoneticPr fontId="1" type="noConversion"/>
  </si>
  <si>
    <t>Item/Shield/Crude Shield</t>
    <phoneticPr fontId="1" type="noConversion"/>
  </si>
  <si>
    <t>낡은 방패</t>
    <phoneticPr fontId="1" type="noConversion"/>
  </si>
  <si>
    <t>Damage Reduction</t>
    <phoneticPr fontId="1" type="noConversion"/>
  </si>
  <si>
    <t>피해 감소율 (%)</t>
    <phoneticPr fontId="1" type="noConversion"/>
  </si>
  <si>
    <t>Dagger</t>
    <phoneticPr fontId="1" type="noConversion"/>
  </si>
  <si>
    <t>Katana</t>
  </si>
  <si>
    <t>Broadsword</t>
    <phoneticPr fontId="1" type="noConversion"/>
  </si>
  <si>
    <t>Broken Straight Sword</t>
    <phoneticPr fontId="1" type="noConversion"/>
  </si>
  <si>
    <t>Crude Shield</t>
    <phoneticPr fontId="1" type="noConversion"/>
  </si>
  <si>
    <t>Blow Skeleton Attack 2</t>
  </si>
  <si>
    <t>Blow Skeleton Attack 1</t>
    <phoneticPr fontId="1" type="noConversion"/>
  </si>
  <si>
    <t>Blow Skeleton Warior Combo Attack 1</t>
  </si>
  <si>
    <t>Blow Skeleton Warior Combo Attack 2</t>
  </si>
  <si>
    <t>Daggers Light Attack 1</t>
    <phoneticPr fontId="1" type="noConversion"/>
  </si>
  <si>
    <t>Daggers Light Attack 2</t>
    <phoneticPr fontId="1" type="noConversion"/>
  </si>
  <si>
    <t>Daggers Heavy Attack 1</t>
    <phoneticPr fontId="1" type="noConversion"/>
  </si>
  <si>
    <t>Straight Swords Light Attack 1</t>
    <phoneticPr fontId="1" type="noConversion"/>
  </si>
  <si>
    <t>Straight Swords Light Attack 2</t>
    <phoneticPr fontId="1" type="noConversion"/>
  </si>
  <si>
    <t>Straight Swords Heavy Attack 1</t>
    <phoneticPr fontId="1" type="noConversion"/>
  </si>
  <si>
    <t>Straight Swords Heavy Attack 2</t>
    <phoneticPr fontId="1" type="noConversion"/>
  </si>
  <si>
    <t>Art/Textures/UI/Item/</t>
    <phoneticPr fontId="1" type="noConversion"/>
  </si>
  <si>
    <t>쉴드 타입</t>
    <phoneticPr fontId="1" type="noConversion"/>
  </si>
  <si>
    <t>Shield Type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</si>
</sst>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"/>
  <sheetViews>
    <sheetView workbookViewId="0">
      <selection activeCell="E3" sqref="E3"/>
    </sheetView>
  </sheetViews>
  <sheetFormatPr defaultColWidth="9" defaultRowHeight="16.5" x14ac:dyDescent="0.3"/>
  <cols>
    <col min="1" max="1" width="10.375" style="1" bestFit="1" customWidth="1"/>
    <col min="2" max="2" width="11" style="1" bestFit="1" customWidth="1"/>
    <col min="3" max="3" width="11.625" style="1" bestFit="1" customWidth="1"/>
    <col min="4" max="4" width="13" style="1" bestFit="1" customWidth="1"/>
    <col min="5" max="5" width="12.875" style="1" bestFit="1" customWidth="1"/>
    <col min="6" max="6" width="11" style="1" bestFit="1" customWidth="1"/>
    <col min="7" max="7" width="9.375" style="1" bestFit="1" customWidth="1"/>
    <col min="8" max="8" width="17.75" style="1" bestFit="1" customWidth="1"/>
    <col min="9" max="16384" width="9" style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10</v>
      </c>
    </row>
    <row r="2" spans="1:8" x14ac:dyDescent="0.3">
      <c r="A2" s="1" t="s">
        <v>7</v>
      </c>
      <c r="B2" s="1" t="s">
        <v>8</v>
      </c>
      <c r="C2" s="1" t="s">
        <v>9</v>
      </c>
      <c r="D2" s="1" t="s">
        <v>11</v>
      </c>
      <c r="E2" s="1" t="s">
        <v>12</v>
      </c>
      <c r="F2" s="1" t="s">
        <v>13</v>
      </c>
      <c r="G2" s="1" t="s">
        <v>14</v>
      </c>
      <c r="H2" s="1" t="s">
        <v>15</v>
      </c>
    </row>
    <row r="3" spans="1:8" x14ac:dyDescent="0.3">
      <c r="A3" s="1">
        <v>1</v>
      </c>
      <c r="B3" s="1">
        <v>0</v>
      </c>
      <c r="C3" s="1">
        <v>0.1</v>
      </c>
      <c r="D3" s="1">
        <v>0.1</v>
      </c>
      <c r="E3" s="1">
        <v>0.1</v>
      </c>
      <c r="F3" s="1">
        <v>3</v>
      </c>
      <c r="G3" s="1">
        <v>1</v>
      </c>
      <c r="H3" s="1">
        <v>4</v>
      </c>
    </row>
    <row r="4" spans="1:8" x14ac:dyDescent="0.3">
      <c r="A4" s="1">
        <v>2</v>
      </c>
      <c r="B4" s="1">
        <v>0</v>
      </c>
      <c r="C4" s="1">
        <v>0.15</v>
      </c>
      <c r="D4" s="1">
        <v>0.01</v>
      </c>
      <c r="E4" s="1">
        <v>0.05</v>
      </c>
      <c r="F4" s="1">
        <v>5</v>
      </c>
      <c r="G4" s="1">
        <v>0.05</v>
      </c>
      <c r="H4" s="1">
        <v>4</v>
      </c>
    </row>
    <row r="5" spans="1:8" x14ac:dyDescent="0.3">
      <c r="A5" s="1">
        <v>3</v>
      </c>
      <c r="B5" s="1">
        <v>0</v>
      </c>
      <c r="C5" s="1">
        <v>0.3</v>
      </c>
      <c r="D5" s="1">
        <v>0.1</v>
      </c>
      <c r="E5" s="1">
        <v>0.5</v>
      </c>
      <c r="F5" s="1">
        <v>10</v>
      </c>
      <c r="G5" s="1">
        <v>0.2</v>
      </c>
      <c r="H5" s="1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22"/>
  <sheetViews>
    <sheetView workbookViewId="0">
      <selection activeCell="F7" sqref="F7"/>
    </sheetView>
  </sheetViews>
  <sheetFormatPr defaultRowHeight="16.5" x14ac:dyDescent="0.3"/>
  <cols>
    <col min="1" max="1" width="23" bestFit="1" customWidth="1"/>
    <col min="3" max="3" width="9.625" bestFit="1" customWidth="1"/>
    <col min="4" max="4" width="19.375" bestFit="1" customWidth="1"/>
  </cols>
  <sheetData>
    <row r="1" spans="1:14" x14ac:dyDescent="0.3">
      <c r="A1" t="s">
        <v>85</v>
      </c>
      <c r="B1" t="s">
        <v>126</v>
      </c>
      <c r="C1" t="s">
        <v>127</v>
      </c>
      <c r="D1" t="s">
        <v>128</v>
      </c>
      <c r="F1" t="s">
        <v>129</v>
      </c>
    </row>
    <row r="2" spans="1:14" x14ac:dyDescent="0.3">
      <c r="A2" t="s">
        <v>99</v>
      </c>
      <c r="B2" t="s">
        <v>100</v>
      </c>
      <c r="C2" t="s">
        <v>130</v>
      </c>
      <c r="D2" t="s">
        <v>131</v>
      </c>
      <c r="F2" t="s">
        <v>132</v>
      </c>
    </row>
    <row r="3" spans="1:14" x14ac:dyDescent="0.3">
      <c r="A3" t="s">
        <v>133</v>
      </c>
      <c r="B3">
        <v>1</v>
      </c>
      <c r="C3">
        <v>0</v>
      </c>
      <c r="D3" t="str">
        <f>_xlfn.CONCAT(VLOOKUP(B3, $H$3:$I$4, 2), VLOOKUP(F3,$J$3:$K$7, 2), A3)</f>
        <v>Effect/Player/Player Move Walk</v>
      </c>
      <c r="F3">
        <v>4</v>
      </c>
      <c r="H3">
        <v>0</v>
      </c>
      <c r="I3" t="s">
        <v>134</v>
      </c>
      <c r="J3">
        <v>0</v>
      </c>
    </row>
    <row r="4" spans="1:14" x14ac:dyDescent="0.3">
      <c r="A4" t="s">
        <v>135</v>
      </c>
      <c r="B4">
        <v>1</v>
      </c>
      <c r="C4">
        <v>0</v>
      </c>
      <c r="D4" t="str">
        <f t="shared" ref="D4:D22" si="0">_xlfn.CONCAT(VLOOKUP(B4, $H$3:$I$4, 2), VLOOKUP(F4,$J$3:$K$7, 2), A4)</f>
        <v>Effect/Player/Player Move Run</v>
      </c>
      <c r="F4">
        <v>4</v>
      </c>
      <c r="H4">
        <v>1</v>
      </c>
      <c r="I4" t="s">
        <v>136</v>
      </c>
      <c r="J4">
        <v>1</v>
      </c>
      <c r="K4" t="s">
        <v>137</v>
      </c>
    </row>
    <row r="5" spans="1:14" x14ac:dyDescent="0.3">
      <c r="A5" t="s">
        <v>80</v>
      </c>
      <c r="B5">
        <v>1</v>
      </c>
      <c r="C5">
        <v>0</v>
      </c>
      <c r="D5" t="str">
        <f t="shared" si="0"/>
        <v>Effect/Player/sword and shield slash1</v>
      </c>
      <c r="F5">
        <v>4</v>
      </c>
      <c r="J5">
        <v>2</v>
      </c>
      <c r="K5" t="s">
        <v>138</v>
      </c>
    </row>
    <row r="6" spans="1:14" x14ac:dyDescent="0.3">
      <c r="A6" t="s">
        <v>152</v>
      </c>
      <c r="B6">
        <v>1</v>
      </c>
      <c r="C6">
        <v>0</v>
      </c>
      <c r="D6" t="str">
        <f t="shared" si="0"/>
        <v>Effect/Player/sword and shield slash2</v>
      </c>
      <c r="F6">
        <v>4</v>
      </c>
      <c r="J6">
        <v>3</v>
      </c>
      <c r="K6" t="s">
        <v>139</v>
      </c>
    </row>
    <row r="7" spans="1:14" x14ac:dyDescent="0.3">
      <c r="A7" t="s">
        <v>153</v>
      </c>
      <c r="B7">
        <v>1</v>
      </c>
      <c r="C7">
        <v>0</v>
      </c>
      <c r="D7" t="str">
        <f t="shared" si="0"/>
        <v>Effect/Player/sword and shield slash3</v>
      </c>
      <c r="F7">
        <v>4</v>
      </c>
      <c r="J7">
        <v>4</v>
      </c>
      <c r="K7" t="s">
        <v>140</v>
      </c>
    </row>
    <row r="8" spans="1:14" x14ac:dyDescent="0.3">
      <c r="A8" t="s">
        <v>155</v>
      </c>
      <c r="B8">
        <v>1</v>
      </c>
      <c r="C8">
        <v>1</v>
      </c>
      <c r="D8" t="str">
        <f t="shared" si="0"/>
        <v>Effect/Monster/SkeletonShieldWarrior Idle</v>
      </c>
      <c r="F8">
        <v>3</v>
      </c>
    </row>
    <row r="9" spans="1:14" x14ac:dyDescent="0.3">
      <c r="A9" t="s">
        <v>141</v>
      </c>
      <c r="B9">
        <v>1</v>
      </c>
      <c r="C9">
        <v>0</v>
      </c>
      <c r="D9" t="str">
        <f t="shared" si="0"/>
        <v>Effect/Monster/Skeleton Walk</v>
      </c>
      <c r="F9">
        <v>3</v>
      </c>
    </row>
    <row r="10" spans="1:14" x14ac:dyDescent="0.3">
      <c r="A10" t="s">
        <v>142</v>
      </c>
      <c r="B10">
        <v>1</v>
      </c>
      <c r="C10">
        <v>0</v>
      </c>
      <c r="D10" t="str">
        <f t="shared" si="0"/>
        <v>Effect/Monster/Skeleton Run</v>
      </c>
      <c r="F10">
        <v>3</v>
      </c>
    </row>
    <row r="11" spans="1:14" x14ac:dyDescent="0.3">
      <c r="A11" t="s">
        <v>156</v>
      </c>
      <c r="B11">
        <v>1</v>
      </c>
      <c r="C11">
        <v>0</v>
      </c>
      <c r="D11" t="str">
        <f t="shared" si="0"/>
        <v>Effect/Monster/SkeletonShieldWarrior Dead</v>
      </c>
      <c r="F11">
        <v>3</v>
      </c>
    </row>
    <row r="12" spans="1:14" x14ac:dyDescent="0.3">
      <c r="A12" t="s">
        <v>154</v>
      </c>
      <c r="B12">
        <v>1</v>
      </c>
      <c r="C12">
        <v>0</v>
      </c>
      <c r="D12" t="str">
        <f t="shared" ref="D12" si="1">_xlfn.CONCAT(VLOOKUP(B12, $H$3:$I$4, 2), VLOOKUP(F12,$J$3:$K$7, 2), A12)</f>
        <v>Effect/Monster/Skeleton Warior Attack 1</v>
      </c>
      <c r="F12">
        <v>3</v>
      </c>
    </row>
    <row r="13" spans="1:14" x14ac:dyDescent="0.3">
      <c r="A13" t="s">
        <v>157</v>
      </c>
      <c r="B13">
        <v>1</v>
      </c>
      <c r="C13">
        <v>0</v>
      </c>
      <c r="D13" t="str">
        <f t="shared" si="0"/>
        <v>Effect/Monster/Skeleton Warior Attack 2</v>
      </c>
      <c r="F13">
        <v>3</v>
      </c>
    </row>
    <row r="14" spans="1:14" x14ac:dyDescent="0.3">
      <c r="A14" t="s">
        <v>143</v>
      </c>
      <c r="B14">
        <v>1</v>
      </c>
      <c r="C14">
        <v>0</v>
      </c>
      <c r="D14" t="str">
        <f t="shared" si="0"/>
        <v>Effect/Player/Drink Potion</v>
      </c>
      <c r="F14">
        <v>4</v>
      </c>
    </row>
    <row r="15" spans="1:14" x14ac:dyDescent="0.3">
      <c r="A15" t="s">
        <v>144</v>
      </c>
      <c r="B15">
        <v>1</v>
      </c>
      <c r="C15">
        <v>0</v>
      </c>
      <c r="D15" t="str">
        <f t="shared" si="0"/>
        <v>Effect/Player/Input Sword</v>
      </c>
      <c r="F15">
        <v>4</v>
      </c>
    </row>
    <row r="16" spans="1:14" x14ac:dyDescent="0.3">
      <c r="A16" t="s">
        <v>145</v>
      </c>
      <c r="B16">
        <v>1</v>
      </c>
      <c r="C16">
        <v>0</v>
      </c>
      <c r="D16" t="str">
        <f t="shared" si="0"/>
        <v>Effect/Player/Output Sword</v>
      </c>
      <c r="F16">
        <v>4</v>
      </c>
    </row>
    <row r="17" spans="1:6" x14ac:dyDescent="0.3">
      <c r="A17" t="s">
        <v>146</v>
      </c>
      <c r="B17">
        <v>1</v>
      </c>
      <c r="C17">
        <v>0</v>
      </c>
      <c r="D17" t="str">
        <f t="shared" si="0"/>
        <v>Effect/Monster/Skeleton Hit</v>
      </c>
      <c r="F17">
        <v>3</v>
      </c>
    </row>
    <row r="18" spans="1:6" x14ac:dyDescent="0.3">
      <c r="A18" t="s">
        <v>147</v>
      </c>
      <c r="B18">
        <v>1</v>
      </c>
      <c r="C18">
        <v>0</v>
      </c>
      <c r="D18" t="str">
        <f t="shared" si="0"/>
        <v>Effect/Player/UI On Off Sound</v>
      </c>
      <c r="F18">
        <v>4</v>
      </c>
    </row>
    <row r="19" spans="1:6" x14ac:dyDescent="0.3">
      <c r="A19" t="s">
        <v>148</v>
      </c>
      <c r="B19">
        <v>1</v>
      </c>
      <c r="C19">
        <v>0</v>
      </c>
      <c r="D19" t="str">
        <f t="shared" si="0"/>
        <v>Effect/Player/Secret Open Door</v>
      </c>
      <c r="F19">
        <v>4</v>
      </c>
    </row>
    <row r="20" spans="1:6" x14ac:dyDescent="0.3">
      <c r="A20" t="s">
        <v>149</v>
      </c>
      <c r="B20">
        <v>1</v>
      </c>
      <c r="C20">
        <v>0</v>
      </c>
      <c r="D20" t="str">
        <f t="shared" si="0"/>
        <v>Effect/Player/Item Drop</v>
      </c>
      <c r="F20">
        <v>4</v>
      </c>
    </row>
    <row r="21" spans="1:6" x14ac:dyDescent="0.3">
      <c r="A21" t="s">
        <v>150</v>
      </c>
      <c r="B21">
        <v>1</v>
      </c>
      <c r="C21">
        <v>0</v>
      </c>
      <c r="D21" t="str">
        <f t="shared" si="0"/>
        <v>Effect/Player/Player Dead</v>
      </c>
      <c r="F21">
        <v>4</v>
      </c>
    </row>
    <row r="22" spans="1:6" x14ac:dyDescent="0.3">
      <c r="A22" t="s">
        <v>151</v>
      </c>
      <c r="B22">
        <v>1</v>
      </c>
      <c r="C22">
        <v>0</v>
      </c>
      <c r="D22" t="str">
        <f t="shared" si="0"/>
        <v>Effect/Player/Player Hit</v>
      </c>
      <c r="F22">
        <v>4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3"/>
  <sheetViews>
    <sheetView workbookViewId="0">
      <selection activeCell="D7" sqref="D7"/>
    </sheetView>
  </sheetViews>
  <sheetFormatPr defaultRowHeight="16.5" x14ac:dyDescent="0.3"/>
  <sheetData>
    <row r="1" spans="1:3" x14ac:dyDescent="0.3">
      <c r="A1" t="s">
        <v>16</v>
      </c>
      <c r="B1" t="s">
        <v>17</v>
      </c>
      <c r="C1" t="s">
        <v>27</v>
      </c>
    </row>
    <row r="2" spans="1:3" x14ac:dyDescent="0.3">
      <c r="A2">
        <v>1</v>
      </c>
      <c r="B2">
        <v>1</v>
      </c>
      <c r="C2">
        <v>1800</v>
      </c>
    </row>
    <row r="3" spans="1:3" x14ac:dyDescent="0.3">
      <c r="A3">
        <v>1</v>
      </c>
      <c r="B3">
        <v>1</v>
      </c>
      <c r="C3">
        <v>1100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7"/>
  <sheetViews>
    <sheetView workbookViewId="0">
      <selection activeCell="I31" sqref="I31"/>
    </sheetView>
  </sheetViews>
  <sheetFormatPr defaultRowHeight="16.5" x14ac:dyDescent="0.3"/>
  <cols>
    <col min="2" max="2" width="15.875" bestFit="1" customWidth="1"/>
  </cols>
  <sheetData>
    <row r="1" spans="1:4" x14ac:dyDescent="0.3">
      <c r="A1" t="s">
        <v>20</v>
      </c>
      <c r="B1" t="s">
        <v>21</v>
      </c>
      <c r="C1" t="s">
        <v>22</v>
      </c>
      <c r="D1" t="s">
        <v>23</v>
      </c>
    </row>
    <row r="2" spans="1:4" x14ac:dyDescent="0.3">
      <c r="A2" t="s">
        <v>24</v>
      </c>
      <c r="B2" t="s">
        <v>21</v>
      </c>
      <c r="C2" t="s">
        <v>22</v>
      </c>
      <c r="D2" t="s">
        <v>23</v>
      </c>
    </row>
    <row r="3" spans="1:4" x14ac:dyDescent="0.3">
      <c r="A3">
        <v>1001</v>
      </c>
      <c r="B3" t="s">
        <v>25</v>
      </c>
    </row>
    <row r="4" spans="1:4" x14ac:dyDescent="0.3">
      <c r="A4">
        <v>10001</v>
      </c>
      <c r="B4" t="s">
        <v>26</v>
      </c>
    </row>
    <row r="5" spans="1:4" x14ac:dyDescent="0.3">
      <c r="A5">
        <v>1800</v>
      </c>
      <c r="B5" t="s">
        <v>28</v>
      </c>
    </row>
    <row r="6" spans="1:4" x14ac:dyDescent="0.3">
      <c r="A6">
        <v>1100</v>
      </c>
      <c r="B6" t="s">
        <v>29</v>
      </c>
    </row>
    <row r="7" spans="1:4" x14ac:dyDescent="0.3">
      <c r="A7">
        <v>2001</v>
      </c>
      <c r="B7" t="s">
        <v>32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C3"/>
  <sheetViews>
    <sheetView workbookViewId="0">
      <selection activeCell="C6" sqref="C6"/>
    </sheetView>
  </sheetViews>
  <sheetFormatPr defaultColWidth="9" defaultRowHeight="16.5" x14ac:dyDescent="0.3"/>
  <cols>
    <col min="1" max="2" width="9" style="1"/>
    <col min="3" max="3" width="14.125" style="1" bestFit="1" customWidth="1"/>
    <col min="4" max="4" width="9" style="1"/>
    <col min="5" max="5" width="27" style="1" bestFit="1" customWidth="1"/>
    <col min="6" max="16384" width="9" style="1"/>
  </cols>
  <sheetData>
    <row r="1" spans="1:3" x14ac:dyDescent="0.3">
      <c r="A1" s="1" t="s">
        <v>30</v>
      </c>
      <c r="B1" s="1" t="s">
        <v>34</v>
      </c>
      <c r="C1" s="1" t="s">
        <v>33</v>
      </c>
    </row>
    <row r="2" spans="1:3" x14ac:dyDescent="0.3">
      <c r="A2" s="1" t="s">
        <v>18</v>
      </c>
      <c r="B2" s="1" t="s">
        <v>35</v>
      </c>
      <c r="C2" s="1" t="s">
        <v>37</v>
      </c>
    </row>
    <row r="3" spans="1:3" x14ac:dyDescent="0.3">
      <c r="A3" s="1">
        <v>1</v>
      </c>
      <c r="B3" s="1">
        <v>2</v>
      </c>
      <c r="C3" s="1" t="s">
        <v>79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8263F-AEC3-4431-82F8-D93D5650DD0B}">
  <sheetPr codeName="Sheet8"/>
  <dimension ref="A1:E5"/>
  <sheetViews>
    <sheetView workbookViewId="0">
      <selection activeCell="E5" sqref="E5"/>
    </sheetView>
  </sheetViews>
  <sheetFormatPr defaultRowHeight="16.5" x14ac:dyDescent="0.3"/>
  <cols>
    <col min="1" max="1" width="7.125" bestFit="1" customWidth="1"/>
    <col min="2" max="2" width="15.625" bestFit="1" customWidth="1"/>
    <col min="3" max="3" width="8.5" customWidth="1"/>
    <col min="4" max="4" width="35.875" style="1" bestFit="1" customWidth="1"/>
    <col min="5" max="5" width="7.125" bestFit="1" customWidth="1"/>
  </cols>
  <sheetData>
    <row r="1" spans="1:5" x14ac:dyDescent="0.3">
      <c r="A1" t="s">
        <v>30</v>
      </c>
      <c r="B1" t="s">
        <v>50</v>
      </c>
      <c r="C1" s="1" t="s">
        <v>82</v>
      </c>
      <c r="D1" s="1" t="s">
        <v>33</v>
      </c>
      <c r="E1" s="1" t="s">
        <v>76</v>
      </c>
    </row>
    <row r="2" spans="1:5" x14ac:dyDescent="0.3">
      <c r="A2" t="s">
        <v>18</v>
      </c>
      <c r="B2" t="s">
        <v>31</v>
      </c>
      <c r="C2" s="1" t="s">
        <v>35</v>
      </c>
      <c r="D2" s="1" t="s">
        <v>37</v>
      </c>
      <c r="E2" s="1" t="s">
        <v>77</v>
      </c>
    </row>
    <row r="3" spans="1:5" x14ac:dyDescent="0.3">
      <c r="A3">
        <v>101</v>
      </c>
      <c r="B3" t="s">
        <v>173</v>
      </c>
      <c r="C3" s="1">
        <v>1</v>
      </c>
      <c r="D3" s="1" t="s">
        <v>178</v>
      </c>
      <c r="E3">
        <v>1</v>
      </c>
    </row>
    <row r="4" spans="1:5" x14ac:dyDescent="0.3">
      <c r="A4">
        <v>102</v>
      </c>
      <c r="B4" t="s">
        <v>174</v>
      </c>
      <c r="C4" s="1">
        <v>2</v>
      </c>
      <c r="D4" s="1" t="s">
        <v>176</v>
      </c>
      <c r="E4">
        <v>1</v>
      </c>
    </row>
    <row r="5" spans="1:5" x14ac:dyDescent="0.3">
      <c r="A5">
        <v>103</v>
      </c>
      <c r="B5" t="s">
        <v>175</v>
      </c>
      <c r="C5" s="1">
        <v>3</v>
      </c>
      <c r="D5" s="1" t="s">
        <v>177</v>
      </c>
      <c r="E5">
        <v>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E502E-0845-4B89-8785-8E93114EFFCE}">
  <sheetPr codeName="Sheet18"/>
  <dimension ref="A1:D6"/>
  <sheetViews>
    <sheetView workbookViewId="0">
      <selection activeCell="G6" sqref="G6"/>
    </sheetView>
  </sheetViews>
  <sheetFormatPr defaultRowHeight="16.5" x14ac:dyDescent="0.3"/>
  <cols>
    <col min="1" max="1" width="6.625" bestFit="1" customWidth="1"/>
    <col min="2" max="2" width="9.875" bestFit="1" customWidth="1"/>
    <col min="3" max="3" width="13.125" bestFit="1" customWidth="1"/>
    <col min="4" max="4" width="5.875" bestFit="1" customWidth="1"/>
  </cols>
  <sheetData>
    <row r="1" spans="1:4" x14ac:dyDescent="0.3">
      <c r="A1" t="s">
        <v>30</v>
      </c>
      <c r="B1" t="s">
        <v>118</v>
      </c>
      <c r="C1" t="s">
        <v>119</v>
      </c>
      <c r="D1" t="s">
        <v>120</v>
      </c>
    </row>
    <row r="2" spans="1:4" x14ac:dyDescent="0.3">
      <c r="A2" t="s">
        <v>18</v>
      </c>
      <c r="B2" t="s">
        <v>121</v>
      </c>
      <c r="C2" t="s">
        <v>122</v>
      </c>
      <c r="D2" t="s">
        <v>123</v>
      </c>
    </row>
    <row r="3" spans="1:4" x14ac:dyDescent="0.3">
      <c r="A3">
        <v>1</v>
      </c>
      <c r="B3">
        <v>20</v>
      </c>
      <c r="C3">
        <v>101</v>
      </c>
      <c r="D3">
        <v>1</v>
      </c>
    </row>
    <row r="4" spans="1:4" x14ac:dyDescent="0.3">
      <c r="A4">
        <v>2</v>
      </c>
      <c r="B4">
        <v>50</v>
      </c>
      <c r="C4">
        <v>2</v>
      </c>
      <c r="D4">
        <v>1</v>
      </c>
    </row>
    <row r="5" spans="1:4" x14ac:dyDescent="0.3">
      <c r="A5">
        <v>3</v>
      </c>
      <c r="B5">
        <v>70</v>
      </c>
      <c r="C5">
        <v>201</v>
      </c>
      <c r="D5">
        <v>2</v>
      </c>
    </row>
    <row r="6" spans="1:4" x14ac:dyDescent="0.3">
      <c r="A6">
        <v>4</v>
      </c>
      <c r="B6">
        <v>100</v>
      </c>
      <c r="C6">
        <v>101</v>
      </c>
      <c r="D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G4"/>
  <sheetViews>
    <sheetView workbookViewId="0">
      <selection activeCell="E4" sqref="E4"/>
    </sheetView>
  </sheetViews>
  <sheetFormatPr defaultRowHeight="16.5" x14ac:dyDescent="0.3"/>
  <cols>
    <col min="1" max="1" width="7.125" bestFit="1" customWidth="1"/>
    <col min="2" max="2" width="11.625" customWidth="1"/>
    <col min="3" max="3" width="10.125" customWidth="1"/>
    <col min="4" max="4" width="12.125" bestFit="1" customWidth="1"/>
    <col min="5" max="5" width="11.625" bestFit="1" customWidth="1"/>
    <col min="6" max="6" width="27" style="1" bestFit="1" customWidth="1"/>
  </cols>
  <sheetData>
    <row r="1" spans="1:7" x14ac:dyDescent="0.3">
      <c r="A1" t="s">
        <v>30</v>
      </c>
      <c r="B1" t="s">
        <v>50</v>
      </c>
      <c r="C1" t="s">
        <v>82</v>
      </c>
      <c r="D1" t="s">
        <v>62</v>
      </c>
      <c r="E1" t="s">
        <v>63</v>
      </c>
      <c r="F1" s="1" t="s">
        <v>33</v>
      </c>
      <c r="G1" s="1" t="s">
        <v>76</v>
      </c>
    </row>
    <row r="2" spans="1:7" x14ac:dyDescent="0.3">
      <c r="A2" t="s">
        <v>18</v>
      </c>
      <c r="B2" t="s">
        <v>31</v>
      </c>
      <c r="C2" t="s">
        <v>83</v>
      </c>
      <c r="D2" t="s">
        <v>64</v>
      </c>
      <c r="E2" t="s">
        <v>65</v>
      </c>
      <c r="F2" s="1" t="s">
        <v>37</v>
      </c>
      <c r="G2" s="1" t="s">
        <v>77</v>
      </c>
    </row>
    <row r="3" spans="1:7" x14ac:dyDescent="0.3">
      <c r="A3">
        <v>1001</v>
      </c>
      <c r="B3" t="s">
        <v>179</v>
      </c>
      <c r="C3">
        <v>1</v>
      </c>
      <c r="D3">
        <v>10000</v>
      </c>
      <c r="E3">
        <v>0</v>
      </c>
      <c r="F3" s="1" t="s">
        <v>78</v>
      </c>
      <c r="G3">
        <v>1</v>
      </c>
    </row>
    <row r="4" spans="1:7" x14ac:dyDescent="0.3">
      <c r="A4">
        <v>1002</v>
      </c>
      <c r="B4" t="s">
        <v>171</v>
      </c>
      <c r="C4">
        <v>1</v>
      </c>
      <c r="D4">
        <v>10000</v>
      </c>
      <c r="E4">
        <v>4</v>
      </c>
      <c r="F4" s="1" t="s">
        <v>172</v>
      </c>
      <c r="G4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6"/>
  <sheetViews>
    <sheetView workbookViewId="0">
      <selection activeCell="I4" sqref="I4"/>
    </sheetView>
  </sheetViews>
  <sheetFormatPr defaultColWidth="9" defaultRowHeight="16.5" x14ac:dyDescent="0.3"/>
  <cols>
    <col min="1" max="6" width="9" style="1"/>
    <col min="7" max="7" width="11.375" style="1" customWidth="1"/>
    <col min="8" max="8" width="11.625" style="1" bestFit="1" customWidth="1"/>
    <col min="9" max="16384" width="9" style="1"/>
  </cols>
  <sheetData>
    <row r="1" spans="1:8" x14ac:dyDescent="0.3">
      <c r="A1" s="1" t="s">
        <v>30</v>
      </c>
      <c r="B1" s="1" t="s">
        <v>42</v>
      </c>
      <c r="C1" s="1" t="s">
        <v>124</v>
      </c>
      <c r="D1" s="1" t="s">
        <v>43</v>
      </c>
      <c r="E1" s="1" t="s">
        <v>36</v>
      </c>
      <c r="F1" s="1" t="s">
        <v>44</v>
      </c>
      <c r="G1" s="1" t="s">
        <v>46</v>
      </c>
      <c r="H1" s="1" t="s">
        <v>48</v>
      </c>
    </row>
    <row r="2" spans="1:8" x14ac:dyDescent="0.3">
      <c r="A2" s="1" t="s">
        <v>18</v>
      </c>
      <c r="B2" s="1" t="s">
        <v>39</v>
      </c>
      <c r="C2" s="1" t="s">
        <v>39</v>
      </c>
      <c r="D2" s="1" t="s">
        <v>40</v>
      </c>
      <c r="E2" s="1" t="s">
        <v>38</v>
      </c>
      <c r="F2" s="1" t="s">
        <v>41</v>
      </c>
      <c r="G2" s="1" t="s">
        <v>47</v>
      </c>
      <c r="H2" s="1" t="s">
        <v>49</v>
      </c>
    </row>
    <row r="3" spans="1:8" x14ac:dyDescent="0.3">
      <c r="A3" s="1">
        <v>1</v>
      </c>
      <c r="B3" s="1">
        <v>403</v>
      </c>
      <c r="C3" s="1">
        <v>93</v>
      </c>
      <c r="D3" s="1">
        <v>94</v>
      </c>
      <c r="E3" s="1">
        <v>0</v>
      </c>
      <c r="F3" s="1">
        <v>0</v>
      </c>
      <c r="G3" s="1">
        <v>3</v>
      </c>
      <c r="H3" s="1">
        <v>5</v>
      </c>
    </row>
    <row r="4" spans="1:8" x14ac:dyDescent="0.3">
      <c r="A4" s="1">
        <v>2</v>
      </c>
      <c r="B4" s="1">
        <v>150</v>
      </c>
      <c r="C4" s="1">
        <v>30</v>
      </c>
      <c r="D4" s="1">
        <v>30</v>
      </c>
      <c r="E4" s="1">
        <v>0</v>
      </c>
      <c r="F4" s="1">
        <v>0</v>
      </c>
      <c r="G4" s="1">
        <v>3</v>
      </c>
      <c r="H4" s="1">
        <v>5</v>
      </c>
    </row>
    <row r="5" spans="1:8" x14ac:dyDescent="0.3">
      <c r="A5" s="1">
        <v>101</v>
      </c>
      <c r="B5" s="1">
        <v>170</v>
      </c>
      <c r="C5" s="1">
        <v>0</v>
      </c>
      <c r="D5" s="1">
        <v>0</v>
      </c>
      <c r="E5" s="1">
        <v>5</v>
      </c>
      <c r="F5" s="1">
        <v>1</v>
      </c>
      <c r="G5" s="1">
        <v>2.5</v>
      </c>
      <c r="H5" s="1">
        <v>4</v>
      </c>
    </row>
    <row r="6" spans="1:8" x14ac:dyDescent="0.3">
      <c r="A6" s="1">
        <v>102</v>
      </c>
      <c r="B6" s="1">
        <v>154</v>
      </c>
      <c r="C6" s="1">
        <v>0</v>
      </c>
      <c r="D6" s="1">
        <v>0</v>
      </c>
      <c r="E6" s="1">
        <v>5</v>
      </c>
      <c r="F6" s="1">
        <v>1</v>
      </c>
      <c r="G6" s="1">
        <v>2.5</v>
      </c>
      <c r="H6" s="1">
        <v>4</v>
      </c>
    </row>
    <row r="7" spans="1:8" x14ac:dyDescent="0.3">
      <c r="A7" s="1">
        <v>103</v>
      </c>
      <c r="B7" s="1">
        <v>120</v>
      </c>
      <c r="C7" s="1">
        <v>0</v>
      </c>
      <c r="D7" s="1">
        <v>0</v>
      </c>
      <c r="E7" s="1">
        <v>10</v>
      </c>
      <c r="F7" s="1">
        <v>0</v>
      </c>
      <c r="G7" s="1">
        <v>2</v>
      </c>
      <c r="H7" s="1">
        <v>3</v>
      </c>
    </row>
    <row r="8" spans="1:8" x14ac:dyDescent="0.3">
      <c r="A8" s="1">
        <v>1001</v>
      </c>
      <c r="B8" s="1">
        <v>5000</v>
      </c>
      <c r="C8" s="1">
        <v>0</v>
      </c>
      <c r="D8" s="1">
        <v>0</v>
      </c>
      <c r="E8" s="1">
        <v>10</v>
      </c>
      <c r="F8" s="1">
        <v>5</v>
      </c>
      <c r="G8" s="1">
        <v>2</v>
      </c>
      <c r="H8" s="1">
        <v>2</v>
      </c>
    </row>
    <row r="9" spans="1:8" x14ac:dyDescent="0.3">
      <c r="A9" s="1">
        <v>1002</v>
      </c>
      <c r="B9" s="1">
        <v>1500</v>
      </c>
      <c r="C9" s="1">
        <v>0</v>
      </c>
      <c r="D9" s="1">
        <v>0</v>
      </c>
      <c r="E9" s="1">
        <v>15</v>
      </c>
      <c r="F9" s="1">
        <v>1</v>
      </c>
      <c r="G9" s="1">
        <v>2</v>
      </c>
      <c r="H9" s="1">
        <v>3</v>
      </c>
    </row>
    <row r="14" spans="1:8" x14ac:dyDescent="0.3">
      <c r="G14" s="1">
        <v>1</v>
      </c>
      <c r="H14" s="1" t="s">
        <v>60</v>
      </c>
    </row>
    <row r="15" spans="1:8" x14ac:dyDescent="0.3">
      <c r="G15" s="1">
        <v>11</v>
      </c>
      <c r="H15" s="1" t="s">
        <v>61</v>
      </c>
    </row>
    <row r="16" spans="1:8" x14ac:dyDescent="0.3">
      <c r="G16" s="1">
        <v>101</v>
      </c>
      <c r="H16" s="1" t="s">
        <v>81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C13"/>
  <sheetViews>
    <sheetView tabSelected="1" workbookViewId="0">
      <selection activeCell="J10" sqref="J10"/>
    </sheetView>
  </sheetViews>
  <sheetFormatPr defaultRowHeight="16.5" x14ac:dyDescent="0.3"/>
  <cols>
    <col min="1" max="1" width="9.125" bestFit="1" customWidth="1"/>
    <col min="2" max="2" width="37" bestFit="1" customWidth="1"/>
    <col min="3" max="3" width="15.75" bestFit="1" customWidth="1"/>
  </cols>
  <sheetData>
    <row r="1" spans="1:3" x14ac:dyDescent="0.3">
      <c r="A1" t="s">
        <v>84</v>
      </c>
      <c r="B1" t="s">
        <v>85</v>
      </c>
      <c r="C1" t="s">
        <v>86</v>
      </c>
    </row>
    <row r="2" spans="1:3" x14ac:dyDescent="0.3">
      <c r="A2" t="s">
        <v>87</v>
      </c>
      <c r="B2" t="s">
        <v>88</v>
      </c>
      <c r="C2" t="s">
        <v>89</v>
      </c>
    </row>
    <row r="3" spans="1:3" x14ac:dyDescent="0.3">
      <c r="A3">
        <v>1</v>
      </c>
      <c r="B3" t="s">
        <v>216</v>
      </c>
      <c r="C3">
        <f>A4</f>
        <v>2</v>
      </c>
    </row>
    <row r="4" spans="1:3" x14ac:dyDescent="0.3">
      <c r="A4">
        <v>2</v>
      </c>
      <c r="B4" t="s">
        <v>217</v>
      </c>
      <c r="C4">
        <f>A5</f>
        <v>3</v>
      </c>
    </row>
    <row r="5" spans="1:3" x14ac:dyDescent="0.3">
      <c r="A5">
        <v>3</v>
      </c>
      <c r="B5" t="s">
        <v>218</v>
      </c>
      <c r="C5">
        <v>0</v>
      </c>
    </row>
    <row r="6" spans="1:3" x14ac:dyDescent="0.3">
      <c r="A6">
        <v>4</v>
      </c>
      <c r="B6" t="s">
        <v>219</v>
      </c>
      <c r="C6">
        <v>5</v>
      </c>
    </row>
    <row r="7" spans="1:3" x14ac:dyDescent="0.3">
      <c r="A7">
        <v>5</v>
      </c>
      <c r="B7" t="s">
        <v>220</v>
      </c>
      <c r="C7">
        <v>4</v>
      </c>
    </row>
    <row r="8" spans="1:3" x14ac:dyDescent="0.3">
      <c r="A8">
        <v>6</v>
      </c>
      <c r="B8" t="s">
        <v>221</v>
      </c>
      <c r="C8">
        <v>7</v>
      </c>
    </row>
    <row r="9" spans="1:3" x14ac:dyDescent="0.3">
      <c r="A9">
        <v>7</v>
      </c>
      <c r="B9" t="s">
        <v>222</v>
      </c>
      <c r="C9">
        <v>6</v>
      </c>
    </row>
    <row r="10" spans="1:3" x14ac:dyDescent="0.3">
      <c r="A10">
        <v>101</v>
      </c>
      <c r="B10" t="s">
        <v>213</v>
      </c>
      <c r="C10">
        <v>0</v>
      </c>
    </row>
    <row r="11" spans="1:3" x14ac:dyDescent="0.3">
      <c r="A11">
        <v>102</v>
      </c>
      <c r="B11" t="s">
        <v>212</v>
      </c>
      <c r="C11">
        <v>0</v>
      </c>
    </row>
    <row r="12" spans="1:3" x14ac:dyDescent="0.3">
      <c r="A12">
        <v>103</v>
      </c>
      <c r="B12" t="s">
        <v>214</v>
      </c>
      <c r="C12">
        <v>0</v>
      </c>
    </row>
    <row r="13" spans="1:3" x14ac:dyDescent="0.3">
      <c r="A13">
        <v>104</v>
      </c>
      <c r="B13" t="s">
        <v>215</v>
      </c>
      <c r="C13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99905-1D6B-4F1F-99C3-21F9C366F87F}">
  <sheetPr codeName="Sheet12"/>
  <dimension ref="A1:H2"/>
  <sheetViews>
    <sheetView workbookViewId="0">
      <selection activeCell="J7" sqref="J7"/>
    </sheetView>
  </sheetViews>
  <sheetFormatPr defaultColWidth="8.625" defaultRowHeight="16.5" x14ac:dyDescent="0.3"/>
  <cols>
    <col min="1" max="1" width="6.625" style="1" bestFit="1" customWidth="1"/>
    <col min="2" max="2" width="9.125" style="1" bestFit="1" customWidth="1"/>
    <col min="3" max="3" width="6.625" style="1" bestFit="1" customWidth="1"/>
    <col min="4" max="4" width="9.125" style="1" bestFit="1" customWidth="1"/>
    <col min="5" max="5" width="8.875" style="1" bestFit="1" customWidth="1"/>
    <col min="6" max="6" width="8.5" style="1" bestFit="1" customWidth="1"/>
    <col min="7" max="7" width="15.75" style="1" bestFit="1" customWidth="1"/>
    <col min="8" max="8" width="15" style="1" bestFit="1" customWidth="1"/>
    <col min="9" max="16384" width="8.625" style="1"/>
  </cols>
  <sheetData>
    <row r="1" spans="1:8" x14ac:dyDescent="0.3">
      <c r="A1" s="1" t="s">
        <v>30</v>
      </c>
      <c r="B1" s="1" t="s">
        <v>50</v>
      </c>
      <c r="C1" s="1" t="s">
        <v>59</v>
      </c>
      <c r="D1" s="1" t="s">
        <v>58</v>
      </c>
      <c r="E1" s="1" t="s">
        <v>54</v>
      </c>
      <c r="F1" s="1" t="s">
        <v>55</v>
      </c>
      <c r="G1" s="1" t="s">
        <v>56</v>
      </c>
      <c r="H1" s="1" t="s">
        <v>66</v>
      </c>
    </row>
    <row r="2" spans="1:8" x14ac:dyDescent="0.3">
      <c r="A2" s="1" t="s">
        <v>18</v>
      </c>
      <c r="B2" s="1" t="s">
        <v>51</v>
      </c>
      <c r="C2" s="1" t="s">
        <v>38</v>
      </c>
      <c r="D2" s="1" t="s">
        <v>45</v>
      </c>
      <c r="E2" s="1" t="s">
        <v>57</v>
      </c>
      <c r="F2" s="1" t="s">
        <v>52</v>
      </c>
      <c r="G2" s="1" t="s">
        <v>53</v>
      </c>
      <c r="H2" s="1" t="s">
        <v>67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F3"/>
  <sheetViews>
    <sheetView workbookViewId="0">
      <selection activeCell="D8" sqref="D8"/>
    </sheetView>
  </sheetViews>
  <sheetFormatPr defaultRowHeight="16.5" x14ac:dyDescent="0.3"/>
  <cols>
    <col min="3" max="3" width="13.75" bestFit="1" customWidth="1"/>
    <col min="4" max="4" width="27" bestFit="1" customWidth="1"/>
    <col min="5" max="5" width="20.875" bestFit="1" customWidth="1"/>
    <col min="6" max="6" width="11.125" bestFit="1" customWidth="1"/>
  </cols>
  <sheetData>
    <row r="1" spans="1:6" x14ac:dyDescent="0.3">
      <c r="A1" t="s">
        <v>30</v>
      </c>
      <c r="B1" t="s">
        <v>17</v>
      </c>
      <c r="C1" t="s">
        <v>68</v>
      </c>
      <c r="D1" t="s">
        <v>69</v>
      </c>
      <c r="E1" t="s">
        <v>70</v>
      </c>
      <c r="F1" t="s">
        <v>71</v>
      </c>
    </row>
    <row r="2" spans="1:6" x14ac:dyDescent="0.3">
      <c r="A2" t="s">
        <v>18</v>
      </c>
      <c r="B2" t="s">
        <v>19</v>
      </c>
      <c r="C2" t="s">
        <v>72</v>
      </c>
      <c r="D2" t="s">
        <v>73</v>
      </c>
      <c r="E2" t="s">
        <v>75</v>
      </c>
      <c r="F2" t="s">
        <v>74</v>
      </c>
    </row>
    <row r="3" spans="1:6" x14ac:dyDescent="0.3">
      <c r="A3">
        <v>1</v>
      </c>
      <c r="B3">
        <v>0</v>
      </c>
      <c r="C3">
        <v>4</v>
      </c>
      <c r="D3">
        <v>2</v>
      </c>
      <c r="E3">
        <v>15</v>
      </c>
      <c r="F3">
        <v>90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M13"/>
  <sheetViews>
    <sheetView topLeftCell="D1" workbookViewId="0">
      <selection activeCell="G6" sqref="G6"/>
    </sheetView>
  </sheetViews>
  <sheetFormatPr defaultRowHeight="16.5" x14ac:dyDescent="0.3"/>
  <cols>
    <col min="2" max="2" width="14.875" customWidth="1"/>
    <col min="3" max="3" width="8.875" bestFit="1" customWidth="1"/>
    <col min="4" max="4" width="50.625" bestFit="1" customWidth="1"/>
    <col min="5" max="5" width="25.375" bestFit="1" customWidth="1"/>
    <col min="6" max="6" width="20.625" bestFit="1" customWidth="1"/>
  </cols>
  <sheetData>
    <row r="1" spans="1:13" x14ac:dyDescent="0.3">
      <c r="A1" t="s">
        <v>84</v>
      </c>
      <c r="B1" t="s">
        <v>85</v>
      </c>
      <c r="C1" t="s">
        <v>96</v>
      </c>
      <c r="D1" t="s">
        <v>108</v>
      </c>
      <c r="E1" t="s">
        <v>97</v>
      </c>
      <c r="F1" t="s">
        <v>98</v>
      </c>
    </row>
    <row r="2" spans="1:13" x14ac:dyDescent="0.3">
      <c r="A2" t="s">
        <v>87</v>
      </c>
      <c r="B2" t="s">
        <v>99</v>
      </c>
      <c r="C2" t="s">
        <v>100</v>
      </c>
      <c r="D2" t="s">
        <v>102</v>
      </c>
      <c r="E2" t="s">
        <v>103</v>
      </c>
      <c r="F2" t="s">
        <v>104</v>
      </c>
      <c r="I2" t="s">
        <v>114</v>
      </c>
      <c r="J2" t="s">
        <v>112</v>
      </c>
      <c r="K2" t="s">
        <v>113</v>
      </c>
    </row>
    <row r="3" spans="1:13" x14ac:dyDescent="0.3">
      <c r="A3">
        <v>1</v>
      </c>
      <c r="B3" t="s">
        <v>180</v>
      </c>
      <c r="C3">
        <v>1</v>
      </c>
      <c r="D3" t="str">
        <f>IF(C3 = K$3, J$3, IF(C3 = K$4, J$4, J$5))&amp;B3</f>
        <v>Art/Textures/UI/Item/Dagger</v>
      </c>
      <c r="F3" t="s">
        <v>105</v>
      </c>
      <c r="I3" t="s">
        <v>115</v>
      </c>
      <c r="J3" t="s">
        <v>223</v>
      </c>
      <c r="K3">
        <v>1</v>
      </c>
      <c r="M3" t="s">
        <v>109</v>
      </c>
    </row>
    <row r="4" spans="1:13" x14ac:dyDescent="0.3">
      <c r="A4">
        <v>2</v>
      </c>
      <c r="B4" t="s">
        <v>181</v>
      </c>
      <c r="C4">
        <v>1</v>
      </c>
      <c r="D4" t="str">
        <f t="shared" ref="D4:D13" si="0">IF(C4 = K$3, J$3, IF(C4 = K$4, J$4, J$5))&amp;B4</f>
        <v>Art/Textures/UI/Item/Parrying Dagger</v>
      </c>
      <c r="I4" t="s">
        <v>116</v>
      </c>
      <c r="J4" t="s">
        <v>223</v>
      </c>
      <c r="K4">
        <v>2</v>
      </c>
      <c r="M4" t="s">
        <v>110</v>
      </c>
    </row>
    <row r="5" spans="1:13" x14ac:dyDescent="0.3">
      <c r="A5">
        <v>3</v>
      </c>
      <c r="B5" t="s">
        <v>182</v>
      </c>
      <c r="C5">
        <v>1</v>
      </c>
      <c r="D5" t="str">
        <f t="shared" si="0"/>
        <v>Art/Textures/UI/Item/Rotten Ghru Dagger</v>
      </c>
      <c r="I5" t="s">
        <v>117</v>
      </c>
      <c r="J5" t="s">
        <v>223</v>
      </c>
      <c r="K5">
        <v>3</v>
      </c>
      <c r="M5" t="s">
        <v>111</v>
      </c>
    </row>
    <row r="6" spans="1:13" x14ac:dyDescent="0.3">
      <c r="A6">
        <v>4</v>
      </c>
      <c r="B6" t="s">
        <v>183</v>
      </c>
      <c r="C6">
        <v>1</v>
      </c>
      <c r="D6" t="str">
        <f t="shared" si="0"/>
        <v>Art/Textures/UI/Item/Shortsword</v>
      </c>
      <c r="E6" t="s">
        <v>199</v>
      </c>
      <c r="F6" t="s">
        <v>200</v>
      </c>
    </row>
    <row r="7" spans="1:13" x14ac:dyDescent="0.3">
      <c r="A7">
        <v>5</v>
      </c>
      <c r="B7" t="s">
        <v>193</v>
      </c>
      <c r="C7">
        <v>1</v>
      </c>
      <c r="D7" t="str">
        <f t="shared" si="0"/>
        <v>Art/Textures/UI/Item/Broadsword</v>
      </c>
      <c r="E7" t="s">
        <v>201</v>
      </c>
      <c r="F7" t="s">
        <v>202</v>
      </c>
    </row>
    <row r="8" spans="1:13" x14ac:dyDescent="0.3">
      <c r="A8">
        <v>6</v>
      </c>
      <c r="B8" t="s">
        <v>184</v>
      </c>
      <c r="C8">
        <v>1</v>
      </c>
      <c r="D8" t="str">
        <f t="shared" si="0"/>
        <v>Art/Textures/UI/Item/Broken Straight Sword</v>
      </c>
    </row>
    <row r="9" spans="1:13" x14ac:dyDescent="0.3">
      <c r="A9">
        <v>101</v>
      </c>
      <c r="B9" t="s">
        <v>188</v>
      </c>
      <c r="C9">
        <v>2</v>
      </c>
      <c r="D9" t="str">
        <f t="shared" si="0"/>
        <v>Art/Textures/UI/Item/Catarina Helm</v>
      </c>
      <c r="E9" t="s">
        <v>203</v>
      </c>
      <c r="F9" t="s">
        <v>204</v>
      </c>
    </row>
    <row r="10" spans="1:13" x14ac:dyDescent="0.3">
      <c r="A10">
        <v>102</v>
      </c>
      <c r="B10" t="s">
        <v>187</v>
      </c>
      <c r="C10">
        <v>2</v>
      </c>
      <c r="D10" t="str">
        <f t="shared" si="0"/>
        <v>Art/Textures/UI/Item/Catarina Armor</v>
      </c>
    </row>
    <row r="11" spans="1:13" x14ac:dyDescent="0.3">
      <c r="A11">
        <v>103</v>
      </c>
      <c r="B11" t="s">
        <v>186</v>
      </c>
      <c r="C11">
        <v>2</v>
      </c>
      <c r="D11" t="str">
        <f t="shared" si="0"/>
        <v>Art/Textures/UI/Item/Catarina Gauntlets</v>
      </c>
    </row>
    <row r="12" spans="1:13" x14ac:dyDescent="0.3">
      <c r="A12">
        <v>104</v>
      </c>
      <c r="B12" t="s">
        <v>185</v>
      </c>
      <c r="C12">
        <v>2</v>
      </c>
      <c r="D12" t="str">
        <f t="shared" si="0"/>
        <v>Art/Textures/UI/Item/Catarina Leggings</v>
      </c>
    </row>
    <row r="13" spans="1:13" x14ac:dyDescent="0.3">
      <c r="A13">
        <v>201</v>
      </c>
      <c r="B13" t="s">
        <v>190</v>
      </c>
      <c r="C13">
        <v>3</v>
      </c>
      <c r="D13" t="str">
        <f t="shared" si="0"/>
        <v>Art/Textures/UI/Item/Estus Flask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01CE6-3193-4C29-9E47-22C07AEED831}">
  <sheetPr codeName="Sheet15"/>
  <dimension ref="A1:E9"/>
  <sheetViews>
    <sheetView workbookViewId="0">
      <selection activeCell="D7" sqref="D7"/>
    </sheetView>
  </sheetViews>
  <sheetFormatPr defaultRowHeight="16.5" x14ac:dyDescent="0.3"/>
  <cols>
    <col min="2" max="2" width="13.125" bestFit="1" customWidth="1"/>
    <col min="3" max="3" width="12.875" bestFit="1" customWidth="1"/>
    <col min="4" max="4" width="21.75" bestFit="1" customWidth="1"/>
    <col min="5" max="5" width="11.625" bestFit="1" customWidth="1"/>
    <col min="6" max="6" width="24.625" bestFit="1" customWidth="1"/>
    <col min="7" max="7" width="35.125" bestFit="1" customWidth="1"/>
  </cols>
  <sheetData>
    <row r="1" spans="1:5" x14ac:dyDescent="0.3">
      <c r="A1" t="s">
        <v>30</v>
      </c>
      <c r="B1" t="s">
        <v>50</v>
      </c>
      <c r="C1" t="s">
        <v>90</v>
      </c>
      <c r="D1" t="s">
        <v>191</v>
      </c>
      <c r="E1" t="s">
        <v>205</v>
      </c>
    </row>
    <row r="2" spans="1:5" x14ac:dyDescent="0.3">
      <c r="A2" t="s">
        <v>18</v>
      </c>
      <c r="B2" t="s">
        <v>31</v>
      </c>
      <c r="C2" t="s">
        <v>91</v>
      </c>
      <c r="D2" t="s">
        <v>192</v>
      </c>
      <c r="E2" t="s">
        <v>206</v>
      </c>
    </row>
    <row r="3" spans="1:5" x14ac:dyDescent="0.3">
      <c r="A3">
        <v>1</v>
      </c>
      <c r="B3" t="s">
        <v>207</v>
      </c>
      <c r="C3">
        <v>1</v>
      </c>
      <c r="D3">
        <v>65</v>
      </c>
      <c r="E3">
        <v>0</v>
      </c>
    </row>
    <row r="4" spans="1:5" x14ac:dyDescent="0.3">
      <c r="A4">
        <v>2</v>
      </c>
      <c r="B4" t="s">
        <v>181</v>
      </c>
      <c r="C4">
        <v>1</v>
      </c>
      <c r="D4">
        <v>60</v>
      </c>
      <c r="E4">
        <v>0</v>
      </c>
    </row>
    <row r="5" spans="1:5" x14ac:dyDescent="0.3">
      <c r="A5">
        <v>3</v>
      </c>
      <c r="B5" t="s">
        <v>182</v>
      </c>
      <c r="C5">
        <v>1</v>
      </c>
      <c r="D5">
        <v>64</v>
      </c>
      <c r="E5">
        <v>0</v>
      </c>
    </row>
    <row r="6" spans="1:5" x14ac:dyDescent="0.3">
      <c r="A6">
        <v>4</v>
      </c>
      <c r="B6" t="s">
        <v>208</v>
      </c>
      <c r="C6">
        <v>2</v>
      </c>
      <c r="D6">
        <v>99</v>
      </c>
      <c r="E6">
        <v>0</v>
      </c>
    </row>
    <row r="7" spans="1:5" x14ac:dyDescent="0.3">
      <c r="A7">
        <v>5</v>
      </c>
      <c r="B7" t="s">
        <v>209</v>
      </c>
      <c r="C7">
        <v>2</v>
      </c>
      <c r="D7">
        <v>117</v>
      </c>
      <c r="E7">
        <v>0</v>
      </c>
    </row>
    <row r="8" spans="1:5" x14ac:dyDescent="0.3">
      <c r="A8">
        <v>6</v>
      </c>
      <c r="B8" t="s">
        <v>210</v>
      </c>
      <c r="C8">
        <v>2</v>
      </c>
      <c r="D8">
        <v>70</v>
      </c>
      <c r="E8">
        <v>0</v>
      </c>
    </row>
    <row r="9" spans="1:5" x14ac:dyDescent="0.3">
      <c r="A9">
        <v>7</v>
      </c>
      <c r="B9" t="s">
        <v>211</v>
      </c>
      <c r="C9">
        <v>25</v>
      </c>
      <c r="D9">
        <v>95</v>
      </c>
      <c r="E9">
        <v>100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36EFC-A7A4-46BB-9EFF-A5367C45F8A4}">
  <dimension ref="A1:E2"/>
  <sheetViews>
    <sheetView workbookViewId="0">
      <selection activeCell="G18" sqref="G18"/>
    </sheetView>
  </sheetViews>
  <sheetFormatPr defaultRowHeight="16.5" x14ac:dyDescent="0.3"/>
  <cols>
    <col min="1" max="1" width="6.625" bestFit="1" customWidth="1"/>
    <col min="2" max="2" width="6.125" bestFit="1" customWidth="1"/>
    <col min="3" max="3" width="12.25" bestFit="1" customWidth="1"/>
    <col min="4" max="4" width="7.625" bestFit="1" customWidth="1"/>
    <col min="5" max="5" width="17.5" bestFit="1" customWidth="1"/>
  </cols>
  <sheetData>
    <row r="1" spans="1:5" x14ac:dyDescent="0.3">
      <c r="A1" t="s">
        <v>30</v>
      </c>
      <c r="B1" t="s">
        <v>50</v>
      </c>
      <c r="C1" t="s">
        <v>225</v>
      </c>
      <c r="D1" t="s">
        <v>191</v>
      </c>
      <c r="E1" t="s">
        <v>205</v>
      </c>
    </row>
    <row r="2" spans="1:5" x14ac:dyDescent="0.3">
      <c r="A2" t="s">
        <v>18</v>
      </c>
      <c r="B2" t="s">
        <v>31</v>
      </c>
      <c r="C2" t="s">
        <v>224</v>
      </c>
      <c r="D2" t="s">
        <v>192</v>
      </c>
      <c r="E2" t="s">
        <v>206</v>
      </c>
    </row>
  </sheetData>
  <phoneticPr fontId="1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ECFED-5AF5-4048-9A60-146D7456139E}">
  <sheetPr codeName="Sheet16"/>
  <dimension ref="A1:D6"/>
  <sheetViews>
    <sheetView workbookViewId="0">
      <selection activeCell="D1" sqref="D1"/>
    </sheetView>
  </sheetViews>
  <sheetFormatPr defaultRowHeight="16.5" x14ac:dyDescent="0.3"/>
  <cols>
    <col min="2" max="2" width="18.125" bestFit="1" customWidth="1"/>
    <col min="3" max="3" width="9.5" bestFit="1" customWidth="1"/>
    <col min="4" max="4" width="24.625" bestFit="1" customWidth="1"/>
    <col min="5" max="5" width="35.125" bestFit="1" customWidth="1"/>
  </cols>
  <sheetData>
    <row r="1" spans="1:4" x14ac:dyDescent="0.3">
      <c r="A1" t="s">
        <v>30</v>
      </c>
      <c r="B1" t="s">
        <v>50</v>
      </c>
      <c r="C1" t="s">
        <v>198</v>
      </c>
      <c r="D1" t="s">
        <v>195</v>
      </c>
    </row>
    <row r="2" spans="1:4" x14ac:dyDescent="0.3">
      <c r="A2" t="s">
        <v>18</v>
      </c>
      <c r="B2" t="s">
        <v>31</v>
      </c>
      <c r="C2" t="s">
        <v>101</v>
      </c>
      <c r="D2" t="s">
        <v>196</v>
      </c>
    </row>
    <row r="3" spans="1:4" x14ac:dyDescent="0.3">
      <c r="A3">
        <v>101</v>
      </c>
      <c r="B3" t="s">
        <v>194</v>
      </c>
      <c r="C3">
        <v>1</v>
      </c>
      <c r="D3">
        <v>5.4</v>
      </c>
    </row>
    <row r="4" spans="1:4" x14ac:dyDescent="0.3">
      <c r="A4">
        <v>102</v>
      </c>
      <c r="B4" t="s">
        <v>187</v>
      </c>
      <c r="C4">
        <v>2</v>
      </c>
      <c r="D4">
        <v>18.3</v>
      </c>
    </row>
    <row r="5" spans="1:4" x14ac:dyDescent="0.3">
      <c r="A5">
        <v>103</v>
      </c>
      <c r="B5" t="s">
        <v>186</v>
      </c>
      <c r="C5">
        <v>4</v>
      </c>
      <c r="D5">
        <v>3.8</v>
      </c>
    </row>
    <row r="6" spans="1:4" x14ac:dyDescent="0.3">
      <c r="A6">
        <v>104</v>
      </c>
      <c r="B6" t="s">
        <v>185</v>
      </c>
      <c r="C6">
        <v>5</v>
      </c>
      <c r="D6">
        <v>8.5</v>
      </c>
    </row>
  </sheetData>
  <phoneticPr fontId="1" type="noConversion"/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30749-7749-46DC-8099-00501F5824A2}">
  <sheetPr codeName="Sheet17"/>
  <dimension ref="A1:E4"/>
  <sheetViews>
    <sheetView workbookViewId="0">
      <selection activeCell="D3" sqref="D3"/>
    </sheetView>
  </sheetViews>
  <sheetFormatPr defaultRowHeight="16.5" x14ac:dyDescent="0.3"/>
  <cols>
    <col min="3" max="3" width="15.875" bestFit="1" customWidth="1"/>
    <col min="5" max="5" width="24.625" bestFit="1" customWidth="1"/>
    <col min="6" max="6" width="35.125" bestFit="1" customWidth="1"/>
  </cols>
  <sheetData>
    <row r="1" spans="1:5" x14ac:dyDescent="0.3">
      <c r="A1" t="s">
        <v>30</v>
      </c>
      <c r="B1" t="s">
        <v>50</v>
      </c>
      <c r="C1" t="s">
        <v>92</v>
      </c>
      <c r="D1" t="s">
        <v>94</v>
      </c>
      <c r="E1" t="s">
        <v>106</v>
      </c>
    </row>
    <row r="2" spans="1:5" x14ac:dyDescent="0.3">
      <c r="A2" t="s">
        <v>18</v>
      </c>
      <c r="B2" t="s">
        <v>31</v>
      </c>
      <c r="C2" t="s">
        <v>93</v>
      </c>
      <c r="D2" t="s">
        <v>95</v>
      </c>
      <c r="E2" t="s">
        <v>107</v>
      </c>
    </row>
    <row r="3" spans="1:5" x14ac:dyDescent="0.3">
      <c r="A3">
        <v>201</v>
      </c>
      <c r="B3" t="s">
        <v>189</v>
      </c>
      <c r="C3">
        <v>2</v>
      </c>
      <c r="D3">
        <v>250</v>
      </c>
      <c r="E3">
        <v>1</v>
      </c>
    </row>
    <row r="4" spans="1:5" x14ac:dyDescent="0.3">
      <c r="A4">
        <v>202</v>
      </c>
      <c r="B4" t="s">
        <v>197</v>
      </c>
      <c r="C4">
        <v>4</v>
      </c>
      <c r="D4">
        <v>10</v>
      </c>
      <c r="E4">
        <v>3</v>
      </c>
    </row>
  </sheetData>
  <phoneticPr fontId="1" type="noConversion"/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F2BB5-D625-40EC-8EAE-85894FA1E08F}">
  <dimension ref="A1:D6"/>
  <sheetViews>
    <sheetView workbookViewId="0">
      <selection activeCell="E24" sqref="E24"/>
    </sheetView>
  </sheetViews>
  <sheetFormatPr defaultRowHeight="16.5" x14ac:dyDescent="0.3"/>
  <cols>
    <col min="2" max="2" width="11.25" bestFit="1" customWidth="1"/>
    <col min="3" max="3" width="28.625" bestFit="1" customWidth="1"/>
    <col min="4" max="4" width="9" customWidth="1"/>
  </cols>
  <sheetData>
    <row r="1" spans="1:4" x14ac:dyDescent="0.3">
      <c r="A1" t="s">
        <v>30</v>
      </c>
      <c r="B1" t="s">
        <v>159</v>
      </c>
      <c r="C1" t="s">
        <v>158</v>
      </c>
      <c r="D1" t="s">
        <v>161</v>
      </c>
    </row>
    <row r="2" spans="1:4" x14ac:dyDescent="0.3">
      <c r="A2" t="s">
        <v>125</v>
      </c>
      <c r="B2" t="s">
        <v>160</v>
      </c>
      <c r="C2" t="s">
        <v>22</v>
      </c>
      <c r="D2" t="s">
        <v>162</v>
      </c>
    </row>
    <row r="3" spans="1:4" x14ac:dyDescent="0.3">
      <c r="A3">
        <v>1</v>
      </c>
      <c r="B3">
        <v>2</v>
      </c>
      <c r="C3" t="s">
        <v>164</v>
      </c>
      <c r="D3" t="s">
        <v>163</v>
      </c>
    </row>
    <row r="4" spans="1:4" x14ac:dyDescent="0.3">
      <c r="A4">
        <v>2</v>
      </c>
      <c r="B4">
        <v>3</v>
      </c>
      <c r="C4" t="s">
        <v>165</v>
      </c>
    </row>
    <row r="5" spans="1:4" x14ac:dyDescent="0.3">
      <c r="A5">
        <v>3</v>
      </c>
      <c r="B5">
        <v>0</v>
      </c>
    </row>
    <row r="6" spans="1:4" x14ac:dyDescent="0.3">
      <c r="A6">
        <v>4</v>
      </c>
      <c r="B6">
        <v>0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D4CF7-E761-4F63-9392-279244975513}">
  <dimension ref="A1:D10"/>
  <sheetViews>
    <sheetView workbookViewId="0">
      <selection sqref="A1:D10"/>
    </sheetView>
  </sheetViews>
  <sheetFormatPr defaultRowHeight="16.5" x14ac:dyDescent="0.3"/>
  <cols>
    <col min="2" max="2" width="13.75" bestFit="1" customWidth="1"/>
    <col min="3" max="3" width="8.5" customWidth="1"/>
    <col min="4" max="4" width="6.75" bestFit="1" customWidth="1"/>
  </cols>
  <sheetData>
    <row r="1" spans="1:4" x14ac:dyDescent="0.3">
      <c r="A1" t="s">
        <v>30</v>
      </c>
      <c r="B1" t="s">
        <v>166</v>
      </c>
      <c r="C1" t="s">
        <v>167</v>
      </c>
      <c r="D1" t="s">
        <v>168</v>
      </c>
    </row>
    <row r="2" spans="1:4" x14ac:dyDescent="0.3">
      <c r="A2" t="s">
        <v>125</v>
      </c>
      <c r="B2" t="s">
        <v>169</v>
      </c>
      <c r="C2" t="s">
        <v>170</v>
      </c>
      <c r="D2" t="s">
        <v>123</v>
      </c>
    </row>
    <row r="3" spans="1:4" x14ac:dyDescent="0.3">
      <c r="A3">
        <v>1</v>
      </c>
      <c r="B3">
        <v>1</v>
      </c>
      <c r="C3">
        <v>100</v>
      </c>
      <c r="D3">
        <v>1</v>
      </c>
    </row>
    <row r="4" spans="1:4" x14ac:dyDescent="0.3">
      <c r="A4">
        <v>2</v>
      </c>
      <c r="B4">
        <v>2</v>
      </c>
      <c r="C4">
        <v>100</v>
      </c>
      <c r="D4">
        <v>1</v>
      </c>
    </row>
    <row r="5" spans="1:4" x14ac:dyDescent="0.3">
      <c r="A5">
        <v>3</v>
      </c>
      <c r="B5">
        <v>101</v>
      </c>
      <c r="C5">
        <v>150</v>
      </c>
      <c r="D5">
        <v>1</v>
      </c>
    </row>
    <row r="6" spans="1:4" x14ac:dyDescent="0.3">
      <c r="A6">
        <v>4</v>
      </c>
      <c r="B6">
        <v>102</v>
      </c>
      <c r="C6">
        <v>150</v>
      </c>
      <c r="D6">
        <v>1</v>
      </c>
    </row>
    <row r="7" spans="1:4" x14ac:dyDescent="0.3">
      <c r="A7">
        <v>5</v>
      </c>
      <c r="B7">
        <v>103</v>
      </c>
      <c r="C7">
        <v>150</v>
      </c>
      <c r="D7">
        <v>1</v>
      </c>
    </row>
    <row r="8" spans="1:4" x14ac:dyDescent="0.3">
      <c r="A8">
        <v>6</v>
      </c>
      <c r="B8">
        <v>104</v>
      </c>
      <c r="C8">
        <v>150</v>
      </c>
      <c r="D8">
        <v>1</v>
      </c>
    </row>
    <row r="9" spans="1:4" x14ac:dyDescent="0.3">
      <c r="A9">
        <v>7</v>
      </c>
      <c r="B9">
        <v>201</v>
      </c>
      <c r="C9">
        <v>10</v>
      </c>
      <c r="D9">
        <v>5</v>
      </c>
    </row>
    <row r="10" spans="1:4" x14ac:dyDescent="0.3">
      <c r="A10">
        <v>8</v>
      </c>
      <c r="B10">
        <v>202</v>
      </c>
      <c r="C10">
        <v>20</v>
      </c>
      <c r="D10">
        <v>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Camera</vt:lpstr>
      <vt:lpstr>Sound</vt:lpstr>
      <vt:lpstr>Loading</vt:lpstr>
      <vt:lpstr>Lan</vt:lpstr>
      <vt:lpstr>Player</vt:lpstr>
      <vt:lpstr>Monster</vt:lpstr>
      <vt:lpstr>Reward</vt:lpstr>
      <vt:lpstr>Boss</vt:lpstr>
      <vt:lpstr>Stat</vt:lpstr>
      <vt:lpstr>Attack</vt:lpstr>
      <vt:lpstr>Buff</vt:lpstr>
      <vt:lpstr>AI</vt:lpstr>
      <vt:lpstr>Item</vt:lpstr>
      <vt:lpstr>Weapon</vt:lpstr>
      <vt:lpstr>Shield</vt:lpstr>
      <vt:lpstr>Armor</vt:lpstr>
      <vt:lpstr>Consumable</vt:lpstr>
      <vt:lpstr>Dialogue</vt:lpstr>
      <vt:lpstr>Shop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이태섭</cp:lastModifiedBy>
  <cp:lastPrinted>2022-09-03T05:15:19Z</cp:lastPrinted>
  <dcterms:created xsi:type="dcterms:W3CDTF">2022-09-03T03:10:22Z</dcterms:created>
  <dcterms:modified xsi:type="dcterms:W3CDTF">2023-04-08T01:15:27Z</dcterms:modified>
</cp:coreProperties>
</file>