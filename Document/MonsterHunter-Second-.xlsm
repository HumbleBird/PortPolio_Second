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1D59C04F-63FB-47F1-91E5-0146D6631540}" xr6:coauthVersionLast="47" xr6:coauthVersionMax="47" xr10:uidLastSave="{00000000-0000-0000-0000-000000000000}"/>
  <bookViews>
    <workbookView xWindow="-120" yWindow="-120" windowWidth="29040" windowHeight="15840" tabRatio="999" activeTab="12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6" l="1"/>
  <c r="E6" i="6"/>
  <c r="D4" i="6"/>
  <c r="D5" i="6"/>
  <c r="D9" i="6"/>
  <c r="D7" i="6"/>
  <c r="D8" i="6"/>
  <c r="D10" i="6"/>
  <c r="D11" i="6"/>
  <c r="D12" i="6"/>
  <c r="D13" i="6"/>
  <c r="D14" i="6"/>
  <c r="D15" i="6"/>
  <c r="E4" i="6"/>
  <c r="E5" i="6"/>
  <c r="E9" i="6"/>
  <c r="E7" i="6"/>
  <c r="E8" i="6"/>
  <c r="E10" i="6"/>
  <c r="E11" i="6"/>
  <c r="E12" i="6"/>
  <c r="E13" i="6"/>
  <c r="E14" i="6"/>
  <c r="E15" i="6"/>
  <c r="E3" i="6"/>
  <c r="D3" i="6"/>
  <c r="D3" i="2"/>
  <c r="C3" i="11"/>
  <c r="C4" i="11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1. Daggers
2. Straight SwordsGreatswords
3. Ultra Greatswords
4. Curved Swordsuchigatana-icon.png
5. Katanas
6. Curved Greatswords
7. Piercing Swords
8. Axes
9. Greataxes
10. Hammers
11. Great Hammers
12. Fist &amp; Claws
13. Spears &amp; Pikes
14. Halberds
15. Reapers
16. Whips
17. Bows
18. Greatbows
19. Crossbows
20. Staves
21. Flames
22. Talismans
23. Sacred Chimes
24. Shield (TODO)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<sst xmlns="http://schemas.openxmlformats.org/spreadsheetml/2006/main" count="298" uniqueCount="233">
  <si>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</si>
  <si>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</si>
  <si>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</si>
  <si>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</si>
  <si>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</si>
  <si>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</si>
  <si>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</si>
  <si>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</si>
  <si>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</si>
  <si>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</si>
  <si>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</si>
  <si>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</si>
  <si>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</si>
  <si>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</si>
  <si>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</si>
  <si>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</si>
  <si>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</si>
  <si>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</si>
  <si>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</si>
  <si>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</si>
  <si>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</si>
  <si>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</si>
  <si>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</si>
  <si>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</si>
  <si>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</si>
  <si>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</si>
  <si>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</si>
  <si>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</si>
  <si>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</si>
  <si>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</si>
  <si>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</si>
  <si>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</si>
  <si>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</si>
  <si>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</si>
  <si>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</si>
  <si>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</si>
  <si>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</si>
  <si>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</si>
  <si>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</si>
  <si>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</si>
  <si>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</si>
  <si>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</si>
  <si>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</si>
  <si>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</si>
  <si>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</si>
  <si>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</si>
  <si>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</si>
  <si>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</si>
  <si>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</si>
  <si>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</si>
  <si>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</si>
  <si>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</si>
  <si>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</si>
  <si>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</si>
  <si>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</si>
  <si>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</si>
  <si>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</si>
  <si>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</si>
  <si>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</si>
  <si>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</si>
  <si>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</si>
  <si>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</si>
  <si>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</si>
  <si>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</si>
  <si>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</si>
  <si>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</si>
  <si>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</si>
  <si>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</si>
  <si>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</si>
  <si>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</si>
  <si>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</si>
  <si>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</si>
  <si>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</si>
  <si>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</si>
  <si>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</si>
  <si>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</si>
  <si>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</si>
  <si>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</si>
  <si>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</si>
  <si>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</si>
  <si>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</si>
  <si>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</si>
  <si>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</si>
  <si>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</si>
  <si>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</si>
  <si>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</si>
  <si>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</si>
  <si>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</si>
  <si>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</si>
  <si>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</si>
  <si>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</si>
  <si>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</si>
  <si>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</si>
  <si>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</si>
  <si>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</si>
  <si>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</si>
  <si>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</si>
  <si>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</si>
  <si>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</si>
  <si>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</si>
  <si>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</si>
  <si>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</si>
  <si>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</si>
  <si>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</si>
  <si>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</si>
  <si>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</si>
  <si>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</si>
  <si>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</si>
  <si>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</si>
  <si>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</si>
  <si>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</si>
  <si>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</si>
  <si>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</si>
  <si>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</si>
  <si>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</si>
  <si>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</si>
  <si>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</si>
  <si>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</si>
  <si>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</si>
  <si>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</si>
  <si>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</si>
  <si>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</si>
  <si>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</si>
  <si>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</si>
  <si>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</si>
  <si>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</si>
  <si>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</si>
  <si>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</si>
  <si>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</si>
  <si>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</si>
  <si>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</si>
  <si>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</si>
  <si>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</si>
  <si>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</si>
  <si>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</si>
  <si>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</si>
  <si>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</si>
  <si>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</si>
  <si>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</si>
  <si>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</si>
  <si>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</si>
  <si>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</si>
  <si>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</si>
  <si>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</si>
  <si>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</si>
  <si>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</si>
  <si>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</si>
  <si>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</si>
  <si>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</si>
  <si>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</si>
  <si>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</si>
  <si>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</si>
  <si>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</si>
  <si>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</si>
  <si>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</si>
  <si>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</si>
  <si>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</si>
  <si>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</si>
  <si>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</si>
  <si>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</si>
  <si>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</si>
  <si>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</si>
  <si>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</si>
  <si>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</si>
  <si>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</si>
  <si>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</si>
  <si>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</si>
  <si>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</si>
  <si>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</si>
  <si>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</si>
  <si>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</si>
  <si>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</si>
  <si>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Broken Straight Sword</t>
  </si>
  <si>
    <t>Catarina Leggings</t>
  </si>
  <si>
    <t>Catarina Gauntlets</t>
  </si>
  <si>
    <t>Catarina Armor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</si>
  <si>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</si>
  <si>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</si>
  <si>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</si>
  <si>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</si>
  <si>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</si>
  <si>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</si>
  <si>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</si>
  <si>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</si>
  <si>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</si>
  <si>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</si>
  <si>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Damage Reduction</t>
    <phoneticPr fontId="1" type="noConversion"/>
  </si>
  <si>
    <t>피해 감소율 (%)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</si>
  <si>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</si>
  <si>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</si>
  <si>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</si>
  <si>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</si>
  <si>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</si>
  <si>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</si>
  <si>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</si>
  <si>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</si>
  <si>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</si>
  <si>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</si>
  <si>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</si>
  <si>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쉴드 타입</t>
    <phoneticPr fontId="1" type="noConversion"/>
  </si>
  <si>
    <t>Shield Type</t>
    <phoneticPr fontId="1" type="noConversion"/>
  </si>
  <si>
    <t>Catarina Helm</t>
    <phoneticPr fontId="1" type="noConversion"/>
  </si>
  <si>
    <t>Catarina Armor</t>
    <phoneticPr fontId="1" type="noConversion"/>
  </si>
  <si>
    <t>Catarina Gauntlets</t>
    <phoneticPr fontId="1" type="noConversion"/>
  </si>
  <si>
    <t>Catarina Leggings</t>
    <phoneticPr fontId="1" type="noConversion"/>
  </si>
  <si>
    <t>Art/Textures/UI/Item/Weapons/</t>
    <phoneticPr fontId="1" type="noConversion"/>
  </si>
  <si>
    <t>Art/Textures/UI/Item/Armors/</t>
    <phoneticPr fontId="1" type="noConversion"/>
  </si>
  <si>
    <t>Art/Textures/UI/Item/Consumabls/</t>
    <phoneticPr fontId="1" type="noConversion"/>
  </si>
  <si>
    <t>Uchigatana</t>
    <phoneticPr fontId="1" type="noConversion"/>
  </si>
  <si>
    <t>UI</t>
    <phoneticPr fontId="1" type="noConversion"/>
  </si>
  <si>
    <t>Prefabs</t>
    <phoneticPr fontId="1" type="noConversion"/>
  </si>
  <si>
    <t>Item/Weapons/</t>
    <phoneticPr fontId="1" type="noConversion"/>
  </si>
  <si>
    <t>Item/Armors/</t>
    <phoneticPr fontId="1" type="noConversion"/>
  </si>
  <si>
    <t>Item/Consumabls/</t>
    <phoneticPr fontId="1" type="noConversion"/>
  </si>
  <si>
    <t>Standard small dagger.</t>
    <phoneticPr fontId="1" type="noConversion"/>
  </si>
  <si>
    <t>Dagger with a greatly curved guard.</t>
    <phoneticPr fontId="1" type="noConversion"/>
  </si>
  <si>
    <t>A crude, half-rotten dagger.</t>
    <phoneticPr fontId="1" type="noConversion"/>
  </si>
  <si>
    <t>Shortsword</t>
  </si>
  <si>
    <t>Bandit's Knife</t>
    <phoneticPr fontId="1" type="noConversion"/>
  </si>
  <si>
    <t>Small straight sword excelling in thrusting attacks.</t>
    <phoneticPr fontId="1" type="noConversion"/>
  </si>
  <si>
    <t>A unique katana characterized by the fine craftsmanship of an eastern land where it was forged.</t>
    <phoneticPr fontId="1" type="noConversion"/>
  </si>
  <si>
    <t>A straight sword with a broad blade designed for slashing.</t>
    <phoneticPr fontId="1" type="noConversion"/>
  </si>
  <si>
    <t>A straight sword with a broken blade.</t>
    <phoneticPr fontId="1" type="noConversion"/>
  </si>
  <si>
    <t>East-West Shield</t>
    <phoneticPr fontId="1" type="noConversion"/>
  </si>
  <si>
    <t>wooden shield decorated with the ancient symbol of the two-headed eagle. Close to a small shield in size.</t>
    <phoneticPr fontId="1" type="noConversion"/>
  </si>
  <si>
    <t>Distinctively shaped helm worn by the Knights of Catarina.</t>
    <phoneticPr fontId="1" type="noConversion"/>
  </si>
  <si>
    <t>Distinctively shaped armor worn by the Knights of Catarina.</t>
    <phoneticPr fontId="1" type="noConversion"/>
  </si>
  <si>
    <t>Distinctively shaped gauntlets worn by the Knights of Catarina.</t>
    <phoneticPr fontId="1" type="noConversion"/>
  </si>
  <si>
    <t>Distinctively shaped leggings worn by the Knights of Catarina.</t>
    <phoneticPr fontId="1" type="noConversion"/>
  </si>
  <si>
    <t>Estus Flask Usage</t>
    <phoneticPr fontId="1" type="noConversion"/>
  </si>
  <si>
    <t>Parrying Dagger</t>
    <phoneticPr fontId="1" type="noConversion"/>
  </si>
  <si>
    <t>Shortsword</t>
    <phoneticPr fontId="1" type="noConversion"/>
  </si>
  <si>
    <t>Broken Straight Sword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</si>
</sst>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D3" sqref="D3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85</v>
      </c>
      <c r="B1" t="s">
        <v>116</v>
      </c>
      <c r="C1" t="s">
        <v>117</v>
      </c>
      <c r="D1" t="s">
        <v>118</v>
      </c>
      <c r="F1" t="s">
        <v>119</v>
      </c>
    </row>
    <row r="2" spans="1:14" x14ac:dyDescent="0.3">
      <c r="A2" t="s">
        <v>99</v>
      </c>
      <c r="B2" t="s">
        <v>100</v>
      </c>
      <c r="C2" t="s">
        <v>120</v>
      </c>
      <c r="D2" t="s">
        <v>121</v>
      </c>
      <c r="F2" t="s">
        <v>122</v>
      </c>
    </row>
    <row r="3" spans="1:14" x14ac:dyDescent="0.3">
      <c r="A3" t="s">
        <v>123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124</v>
      </c>
      <c r="J3">
        <v>0</v>
      </c>
    </row>
    <row r="4" spans="1:14" x14ac:dyDescent="0.3">
      <c r="A4" t="s">
        <v>125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126</v>
      </c>
      <c r="J4">
        <v>1</v>
      </c>
      <c r="K4" t="s">
        <v>127</v>
      </c>
    </row>
    <row r="5" spans="1:14" x14ac:dyDescent="0.3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128</v>
      </c>
    </row>
    <row r="6" spans="1:14" x14ac:dyDescent="0.3">
      <c r="A6" t="s">
        <v>142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129</v>
      </c>
    </row>
    <row r="7" spans="1:14" x14ac:dyDescent="0.3">
      <c r="A7" t="s">
        <v>143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130</v>
      </c>
    </row>
    <row r="8" spans="1:14" x14ac:dyDescent="0.3">
      <c r="A8" t="s">
        <v>145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131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132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146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144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147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133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134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135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136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137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138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139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140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141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t="s">
        <v>24</v>
      </c>
      <c r="B2" t="s">
        <v>21</v>
      </c>
      <c r="C2" t="s">
        <v>22</v>
      </c>
      <c r="D2" t="s">
        <v>23</v>
      </c>
    </row>
    <row r="3" spans="1:4" x14ac:dyDescent="0.3">
      <c r="A3">
        <v>1001</v>
      </c>
      <c r="B3" t="s">
        <v>25</v>
      </c>
    </row>
    <row r="4" spans="1:4" x14ac:dyDescent="0.3">
      <c r="A4">
        <v>10001</v>
      </c>
      <c r="B4" t="s">
        <v>26</v>
      </c>
    </row>
    <row r="5" spans="1:4" x14ac:dyDescent="0.3">
      <c r="A5">
        <v>1800</v>
      </c>
      <c r="B5" t="s">
        <v>28</v>
      </c>
    </row>
    <row r="6" spans="1:4" x14ac:dyDescent="0.3">
      <c r="A6">
        <v>1100</v>
      </c>
      <c r="B6" t="s">
        <v>29</v>
      </c>
    </row>
    <row r="7" spans="1:4" x14ac:dyDescent="0.3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6.5" x14ac:dyDescent="0.3"/>
  <cols>
    <col min="1" max="2" width="9" style="1"/>
    <col min="3" max="3" width="14.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3">
      <c r="A1" s="1" t="s">
        <v>30</v>
      </c>
      <c r="B1" s="1" t="s">
        <v>34</v>
      </c>
      <c r="C1" s="1" t="s">
        <v>33</v>
      </c>
    </row>
    <row r="2" spans="1:3" x14ac:dyDescent="0.3">
      <c r="A2" s="1" t="s">
        <v>18</v>
      </c>
      <c r="B2" s="1" t="s">
        <v>35</v>
      </c>
      <c r="C2" s="1" t="s">
        <v>37</v>
      </c>
    </row>
    <row r="3" spans="1:3" x14ac:dyDescent="0.3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3" sqref="D3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3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3">
      <c r="A3">
        <v>101</v>
      </c>
      <c r="B3" t="s">
        <v>163</v>
      </c>
      <c r="C3" s="1">
        <v>1</v>
      </c>
      <c r="D3" s="1" t="s">
        <v>168</v>
      </c>
      <c r="E3">
        <v>1</v>
      </c>
    </row>
    <row r="4" spans="1:5" x14ac:dyDescent="0.3">
      <c r="A4">
        <v>102</v>
      </c>
      <c r="B4" t="s">
        <v>164</v>
      </c>
      <c r="C4" s="1">
        <v>2</v>
      </c>
      <c r="D4" s="1" t="s">
        <v>166</v>
      </c>
      <c r="E4">
        <v>1</v>
      </c>
    </row>
    <row r="5" spans="1:5" x14ac:dyDescent="0.3">
      <c r="A5">
        <v>103</v>
      </c>
      <c r="B5" t="s">
        <v>165</v>
      </c>
      <c r="C5" s="1">
        <v>3</v>
      </c>
      <c r="D5" s="1" t="s">
        <v>167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30</v>
      </c>
      <c r="B1" t="s">
        <v>108</v>
      </c>
      <c r="C1" t="s">
        <v>109</v>
      </c>
      <c r="D1" t="s">
        <v>110</v>
      </c>
    </row>
    <row r="2" spans="1:4" x14ac:dyDescent="0.3">
      <c r="A2" t="s">
        <v>18</v>
      </c>
      <c r="B2" t="s">
        <v>111</v>
      </c>
      <c r="C2" t="s">
        <v>112</v>
      </c>
      <c r="D2" t="s">
        <v>113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3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3">
      <c r="A3">
        <v>1001</v>
      </c>
      <c r="B3" t="s">
        <v>169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3">
      <c r="A4">
        <v>1002</v>
      </c>
      <c r="B4" t="s">
        <v>161</v>
      </c>
      <c r="C4">
        <v>1</v>
      </c>
      <c r="D4">
        <v>10000</v>
      </c>
      <c r="E4">
        <v>4</v>
      </c>
      <c r="F4" s="1" t="s">
        <v>162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16384" width="9" style="1"/>
  </cols>
  <sheetData>
    <row r="1" spans="1:8" x14ac:dyDescent="0.3">
      <c r="A1" s="1" t="s">
        <v>30</v>
      </c>
      <c r="B1" s="1" t="s">
        <v>42</v>
      </c>
      <c r="C1" s="1" t="s">
        <v>114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3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3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3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3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3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3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3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3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3">
      <c r="G14" s="1">
        <v>1</v>
      </c>
      <c r="H14" s="1" t="s">
        <v>60</v>
      </c>
    </row>
    <row r="15" spans="1:8" x14ac:dyDescent="0.3">
      <c r="G15" s="1">
        <v>11</v>
      </c>
      <c r="H15" s="1" t="s">
        <v>61</v>
      </c>
    </row>
    <row r="16" spans="1:8" x14ac:dyDescent="0.3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workbookViewId="0">
      <selection activeCell="J10" sqref="J10"/>
    </sheetView>
  </sheetViews>
  <sheetFormatPr defaultRowHeight="16.5" x14ac:dyDescent="0.3"/>
  <cols>
    <col min="1" max="1" width="9.125" bestFit="1" customWidth="1"/>
    <col min="2" max="2" width="37" bestFit="1" customWidth="1"/>
    <col min="3" max="3" width="15.75" bestFit="1" customWidth="1"/>
  </cols>
  <sheetData>
    <row r="1" spans="1:3" x14ac:dyDescent="0.3">
      <c r="A1" t="s">
        <v>84</v>
      </c>
      <c r="B1" t="s">
        <v>85</v>
      </c>
      <c r="C1" t="s">
        <v>86</v>
      </c>
    </row>
    <row r="2" spans="1:3" x14ac:dyDescent="0.3">
      <c r="A2" t="s">
        <v>87</v>
      </c>
      <c r="B2" t="s">
        <v>88</v>
      </c>
      <c r="C2" t="s">
        <v>89</v>
      </c>
    </row>
    <row r="3" spans="1:3" x14ac:dyDescent="0.3">
      <c r="A3">
        <v>1</v>
      </c>
      <c r="B3" t="s">
        <v>192</v>
      </c>
      <c r="C3">
        <f>A4</f>
        <v>2</v>
      </c>
    </row>
    <row r="4" spans="1:3" x14ac:dyDescent="0.3">
      <c r="A4">
        <v>2</v>
      </c>
      <c r="B4" t="s">
        <v>193</v>
      </c>
      <c r="C4">
        <f>A5</f>
        <v>3</v>
      </c>
    </row>
    <row r="5" spans="1:3" x14ac:dyDescent="0.3">
      <c r="A5">
        <v>3</v>
      </c>
      <c r="B5" t="s">
        <v>194</v>
      </c>
      <c r="C5">
        <v>0</v>
      </c>
    </row>
    <row r="6" spans="1:3" x14ac:dyDescent="0.3">
      <c r="A6">
        <v>4</v>
      </c>
      <c r="B6" t="s">
        <v>195</v>
      </c>
      <c r="C6">
        <v>5</v>
      </c>
    </row>
    <row r="7" spans="1:3" x14ac:dyDescent="0.3">
      <c r="A7">
        <v>5</v>
      </c>
      <c r="B7" t="s">
        <v>196</v>
      </c>
      <c r="C7">
        <v>4</v>
      </c>
    </row>
    <row r="8" spans="1:3" x14ac:dyDescent="0.3">
      <c r="A8">
        <v>6</v>
      </c>
      <c r="B8" t="s">
        <v>197</v>
      </c>
      <c r="C8">
        <v>7</v>
      </c>
    </row>
    <row r="9" spans="1:3" x14ac:dyDescent="0.3">
      <c r="A9">
        <v>7</v>
      </c>
      <c r="B9" t="s">
        <v>198</v>
      </c>
      <c r="C9">
        <v>6</v>
      </c>
    </row>
    <row r="10" spans="1:3" x14ac:dyDescent="0.3">
      <c r="A10">
        <v>101</v>
      </c>
      <c r="B10" t="s">
        <v>189</v>
      </c>
      <c r="C10">
        <v>0</v>
      </c>
    </row>
    <row r="11" spans="1:3" x14ac:dyDescent="0.3">
      <c r="A11">
        <v>102</v>
      </c>
      <c r="B11" t="s">
        <v>188</v>
      </c>
      <c r="C11">
        <v>0</v>
      </c>
    </row>
    <row r="12" spans="1:3" x14ac:dyDescent="0.3">
      <c r="A12">
        <v>103</v>
      </c>
      <c r="B12" t="s">
        <v>190</v>
      </c>
      <c r="C12">
        <v>0</v>
      </c>
    </row>
    <row r="13" spans="1:3" x14ac:dyDescent="0.3">
      <c r="A13">
        <v>104</v>
      </c>
      <c r="B13" t="s">
        <v>191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3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3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J15"/>
  <sheetViews>
    <sheetView tabSelected="1" workbookViewId="0">
      <selection activeCell="E24" sqref="E24"/>
    </sheetView>
  </sheetViews>
  <sheetFormatPr defaultRowHeight="16.5" x14ac:dyDescent="0.3"/>
  <cols>
    <col min="2" max="2" width="14.875" customWidth="1"/>
    <col min="3" max="3" width="8.875" bestFit="1" customWidth="1"/>
    <col min="4" max="4" width="50.625" bestFit="1" customWidth="1"/>
    <col min="5" max="5" width="34.625" bestFit="1" customWidth="1"/>
    <col min="6" max="6" width="6.375" customWidth="1"/>
    <col min="7" max="7" width="6.5" customWidth="1"/>
    <col min="10" max="10" width="31.625" bestFit="1" customWidth="1"/>
  </cols>
  <sheetData>
    <row r="1" spans="1:10" x14ac:dyDescent="0.3">
      <c r="A1" t="s">
        <v>84</v>
      </c>
      <c r="B1" t="s">
        <v>85</v>
      </c>
      <c r="C1" t="s">
        <v>96</v>
      </c>
      <c r="D1" t="s">
        <v>107</v>
      </c>
      <c r="E1" t="s">
        <v>97</v>
      </c>
      <c r="F1" t="s">
        <v>98</v>
      </c>
    </row>
    <row r="2" spans="1:10" x14ac:dyDescent="0.3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J2" t="s">
        <v>209</v>
      </c>
    </row>
    <row r="3" spans="1:10" x14ac:dyDescent="0.3">
      <c r="A3">
        <v>1</v>
      </c>
      <c r="B3" t="s">
        <v>170</v>
      </c>
      <c r="C3">
        <v>1</v>
      </c>
      <c r="D3" t="str">
        <f>_xlfn.CONCAT(VLOOKUP(C3, $I$3:$J$5, 2), B3)</f>
        <v>Art/Textures/UI/Item/Weapons/Dagger</v>
      </c>
      <c r="E3" t="str">
        <f t="shared" ref="E3:E15" si="0">_xlfn.CONCAT(VLOOKUP(C3, $I$7:$J$9, 2), B3)</f>
        <v>Item/Weapons/Dagger</v>
      </c>
      <c r="F3" t="s">
        <v>214</v>
      </c>
      <c r="I3">
        <v>1</v>
      </c>
      <c r="J3" t="s">
        <v>205</v>
      </c>
    </row>
    <row r="4" spans="1:10" x14ac:dyDescent="0.3">
      <c r="A4">
        <v>2</v>
      </c>
      <c r="B4" t="s">
        <v>230</v>
      </c>
      <c r="C4">
        <v>1</v>
      </c>
      <c r="D4" t="str">
        <f t="shared" ref="D4:D9" si="1">_xlfn.CONCAT(VLOOKUP(C4, $I$3:$J$5, 2), B4)</f>
        <v>Art/Textures/UI/Item/Weapons/Parrying Dagger</v>
      </c>
      <c r="E4" t="str">
        <f t="shared" si="0"/>
        <v>Item/Weapons/Parrying Dagger</v>
      </c>
      <c r="F4" t="s">
        <v>215</v>
      </c>
      <c r="I4">
        <v>2</v>
      </c>
      <c r="J4" t="s">
        <v>206</v>
      </c>
    </row>
    <row r="5" spans="1:10" x14ac:dyDescent="0.3">
      <c r="A5">
        <v>3</v>
      </c>
      <c r="B5" t="s">
        <v>218</v>
      </c>
      <c r="C5">
        <v>1</v>
      </c>
      <c r="D5" t="str">
        <f t="shared" si="1"/>
        <v>Art/Textures/UI/Item/Weapons/Bandit's Knife</v>
      </c>
      <c r="E5" t="str">
        <f t="shared" si="0"/>
        <v>Item/Weapons/Bandit's Knife</v>
      </c>
      <c r="F5" t="s">
        <v>216</v>
      </c>
      <c r="I5">
        <v>3</v>
      </c>
      <c r="J5" t="s">
        <v>207</v>
      </c>
    </row>
    <row r="6" spans="1:10" x14ac:dyDescent="0.3">
      <c r="A6">
        <v>4</v>
      </c>
      <c r="B6" t="s">
        <v>231</v>
      </c>
      <c r="C6">
        <v>1</v>
      </c>
      <c r="D6" t="str">
        <f t="shared" ref="D6" si="2">_xlfn.CONCAT(VLOOKUP(C6, $I$3:$J$5, 2), B6)</f>
        <v>Art/Textures/UI/Item/Weapons/Shortsword</v>
      </c>
      <c r="E6" t="str">
        <f t="shared" si="0"/>
        <v>Item/Weapons/Shortsword</v>
      </c>
      <c r="F6" t="s">
        <v>219</v>
      </c>
      <c r="J6" t="s">
        <v>210</v>
      </c>
    </row>
    <row r="7" spans="1:10" x14ac:dyDescent="0.3">
      <c r="A7">
        <v>5</v>
      </c>
      <c r="B7" t="s">
        <v>180</v>
      </c>
      <c r="C7">
        <v>1</v>
      </c>
      <c r="D7" t="str">
        <f>_xlfn.CONCAT(VLOOKUP(C7, $I$3:$J$5, 2), B7)</f>
        <v>Art/Textures/UI/Item/Weapons/Broadsword</v>
      </c>
      <c r="E7" t="str">
        <f t="shared" si="0"/>
        <v>Item/Weapons/Broadsword</v>
      </c>
      <c r="F7" t="s">
        <v>221</v>
      </c>
      <c r="I7">
        <v>1</v>
      </c>
      <c r="J7" t="s">
        <v>211</v>
      </c>
    </row>
    <row r="8" spans="1:10" x14ac:dyDescent="0.3">
      <c r="A8">
        <v>6</v>
      </c>
      <c r="B8" t="s">
        <v>232</v>
      </c>
      <c r="C8">
        <v>1</v>
      </c>
      <c r="D8" t="str">
        <f>_xlfn.CONCAT(VLOOKUP(C8, $I$3:$J$5, 2), B8)</f>
        <v>Art/Textures/UI/Item/Weapons/Broken Straight Sword</v>
      </c>
      <c r="E8" t="str">
        <f t="shared" si="0"/>
        <v>Item/Weapons/Broken Straight Sword</v>
      </c>
      <c r="F8" t="s">
        <v>222</v>
      </c>
      <c r="I8">
        <v>2</v>
      </c>
      <c r="J8" t="s">
        <v>212</v>
      </c>
    </row>
    <row r="9" spans="1:10" x14ac:dyDescent="0.3">
      <c r="A9">
        <v>7</v>
      </c>
      <c r="B9" t="s">
        <v>208</v>
      </c>
      <c r="C9">
        <v>1</v>
      </c>
      <c r="D9" t="str">
        <f t="shared" si="1"/>
        <v>Art/Textures/UI/Item/Weapons/Uchigatana</v>
      </c>
      <c r="E9" t="str">
        <f t="shared" si="0"/>
        <v>Item/Weapons/Uchigatana</v>
      </c>
      <c r="F9" t="s">
        <v>220</v>
      </c>
      <c r="I9">
        <v>3</v>
      </c>
      <c r="J9" t="s">
        <v>213</v>
      </c>
    </row>
    <row r="10" spans="1:10" x14ac:dyDescent="0.3">
      <c r="A10">
        <v>8</v>
      </c>
      <c r="B10" t="s">
        <v>223</v>
      </c>
      <c r="C10">
        <v>1</v>
      </c>
      <c r="D10" t="str">
        <f t="shared" ref="D10:D15" si="3">_xlfn.CONCAT(VLOOKUP(C10, $I$3:$J$5, 2), B10)</f>
        <v>Art/Textures/UI/Item/Weapons/East-West Shield</v>
      </c>
      <c r="E10" t="str">
        <f t="shared" si="0"/>
        <v>Item/Weapons/East-West Shield</v>
      </c>
      <c r="F10" t="s">
        <v>224</v>
      </c>
    </row>
    <row r="11" spans="1:10" x14ac:dyDescent="0.3">
      <c r="A11">
        <v>101</v>
      </c>
      <c r="B11" t="s">
        <v>201</v>
      </c>
      <c r="C11">
        <v>2</v>
      </c>
      <c r="D11" t="str">
        <f t="shared" si="3"/>
        <v>Art/Textures/UI/Item/Armors/Catarina Helm</v>
      </c>
      <c r="E11" t="str">
        <f t="shared" si="0"/>
        <v>Item/Armors/Catarina Helm</v>
      </c>
      <c r="F11" t="s">
        <v>225</v>
      </c>
    </row>
    <row r="12" spans="1:10" x14ac:dyDescent="0.3">
      <c r="A12">
        <v>102</v>
      </c>
      <c r="B12" t="s">
        <v>202</v>
      </c>
      <c r="C12">
        <v>2</v>
      </c>
      <c r="D12" t="str">
        <f t="shared" si="3"/>
        <v>Art/Textures/UI/Item/Armors/Catarina Armor</v>
      </c>
      <c r="E12" t="str">
        <f t="shared" si="0"/>
        <v>Item/Armors/Catarina Armor</v>
      </c>
      <c r="F12" t="s">
        <v>226</v>
      </c>
    </row>
    <row r="13" spans="1:10" x14ac:dyDescent="0.3">
      <c r="A13">
        <v>103</v>
      </c>
      <c r="B13" t="s">
        <v>203</v>
      </c>
      <c r="C13">
        <v>2</v>
      </c>
      <c r="D13" t="str">
        <f t="shared" si="3"/>
        <v>Art/Textures/UI/Item/Armors/Catarina Gauntlets</v>
      </c>
      <c r="E13" t="str">
        <f t="shared" si="0"/>
        <v>Item/Armors/Catarina Gauntlets</v>
      </c>
      <c r="F13" t="s">
        <v>227</v>
      </c>
    </row>
    <row r="14" spans="1:10" x14ac:dyDescent="0.3">
      <c r="A14">
        <v>104</v>
      </c>
      <c r="B14" t="s">
        <v>204</v>
      </c>
      <c r="C14">
        <v>2</v>
      </c>
      <c r="D14" t="str">
        <f t="shared" si="3"/>
        <v>Art/Textures/UI/Item/Armors/Catarina Leggings</v>
      </c>
      <c r="E14" t="str">
        <f t="shared" si="0"/>
        <v>Item/Armors/Catarina Leggings</v>
      </c>
      <c r="F14" t="s">
        <v>228</v>
      </c>
    </row>
    <row r="15" spans="1:10" x14ac:dyDescent="0.3">
      <c r="A15">
        <v>201</v>
      </c>
      <c r="B15" t="s">
        <v>177</v>
      </c>
      <c r="C15">
        <v>3</v>
      </c>
      <c r="D15" t="str">
        <f t="shared" si="3"/>
        <v>Art/Textures/UI/Item/Consumabls/Estus Flask</v>
      </c>
      <c r="E15" t="str">
        <f t="shared" si="0"/>
        <v>Item/Consumabls/Estus Flask</v>
      </c>
      <c r="F15" t="s">
        <v>229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10"/>
  <sheetViews>
    <sheetView workbookViewId="0">
      <selection activeCell="E11" sqref="E11"/>
    </sheetView>
  </sheetViews>
  <sheetFormatPr defaultRowHeight="16.5" x14ac:dyDescent="0.3"/>
  <cols>
    <col min="2" max="2" width="13.125" bestFit="1" customWidth="1"/>
    <col min="3" max="3" width="12.875" bestFit="1" customWidth="1"/>
    <col min="4" max="4" width="21.75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50</v>
      </c>
      <c r="C1" t="s">
        <v>90</v>
      </c>
      <c r="D1" t="s">
        <v>178</v>
      </c>
      <c r="E1" t="s">
        <v>186</v>
      </c>
    </row>
    <row r="2" spans="1:5" x14ac:dyDescent="0.3">
      <c r="A2" t="s">
        <v>18</v>
      </c>
      <c r="B2" t="s">
        <v>31</v>
      </c>
      <c r="C2" t="s">
        <v>91</v>
      </c>
      <c r="D2" t="s">
        <v>179</v>
      </c>
      <c r="E2" t="s">
        <v>187</v>
      </c>
    </row>
    <row r="3" spans="1:5" x14ac:dyDescent="0.3">
      <c r="A3">
        <v>1</v>
      </c>
      <c r="B3" t="s">
        <v>170</v>
      </c>
      <c r="C3">
        <v>1</v>
      </c>
      <c r="D3">
        <v>65</v>
      </c>
      <c r="E3">
        <v>0</v>
      </c>
    </row>
    <row r="4" spans="1:5" x14ac:dyDescent="0.3">
      <c r="A4">
        <v>2</v>
      </c>
      <c r="B4" t="s">
        <v>171</v>
      </c>
      <c r="C4">
        <v>1</v>
      </c>
      <c r="D4">
        <v>60</v>
      </c>
      <c r="E4">
        <v>0</v>
      </c>
    </row>
    <row r="5" spans="1:5" x14ac:dyDescent="0.3">
      <c r="A5">
        <v>3</v>
      </c>
      <c r="B5" t="s">
        <v>218</v>
      </c>
      <c r="C5">
        <v>1</v>
      </c>
      <c r="D5">
        <v>64</v>
      </c>
      <c r="E5">
        <v>0</v>
      </c>
    </row>
    <row r="6" spans="1:5" x14ac:dyDescent="0.3">
      <c r="A6">
        <v>4</v>
      </c>
      <c r="B6" t="s">
        <v>217</v>
      </c>
      <c r="C6">
        <v>2</v>
      </c>
      <c r="D6">
        <v>99</v>
      </c>
      <c r="E6">
        <v>0</v>
      </c>
    </row>
    <row r="7" spans="1:5" x14ac:dyDescent="0.3">
      <c r="A7">
        <v>5</v>
      </c>
      <c r="B7" t="s">
        <v>180</v>
      </c>
      <c r="C7">
        <v>2</v>
      </c>
      <c r="D7">
        <v>117</v>
      </c>
      <c r="E7">
        <v>0</v>
      </c>
    </row>
    <row r="8" spans="1:5" x14ac:dyDescent="0.3">
      <c r="A8">
        <v>6</v>
      </c>
      <c r="B8" t="s">
        <v>172</v>
      </c>
      <c r="C8">
        <v>2</v>
      </c>
      <c r="D8">
        <v>70</v>
      </c>
      <c r="E8">
        <v>0</v>
      </c>
    </row>
    <row r="9" spans="1:5" x14ac:dyDescent="0.3">
      <c r="A9">
        <v>7</v>
      </c>
      <c r="B9" t="s">
        <v>208</v>
      </c>
      <c r="C9">
        <v>5</v>
      </c>
      <c r="D9">
        <v>95</v>
      </c>
      <c r="E9">
        <v>0</v>
      </c>
    </row>
    <row r="10" spans="1:5" x14ac:dyDescent="0.3">
      <c r="A10">
        <v>8</v>
      </c>
      <c r="B10" t="s">
        <v>223</v>
      </c>
      <c r="C10">
        <v>24</v>
      </c>
      <c r="D10">
        <v>65</v>
      </c>
      <c r="E10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6.5" x14ac:dyDescent="0.3"/>
  <cols>
    <col min="1" max="1" width="6.625" bestFit="1" customWidth="1"/>
    <col min="2" max="2" width="6.125" bestFit="1" customWidth="1"/>
    <col min="3" max="3" width="12.25" bestFit="1" customWidth="1"/>
    <col min="4" max="4" width="7.625" bestFit="1" customWidth="1"/>
    <col min="5" max="5" width="17.5" bestFit="1" customWidth="1"/>
  </cols>
  <sheetData>
    <row r="1" spans="1:5" x14ac:dyDescent="0.3">
      <c r="A1" t="s">
        <v>30</v>
      </c>
      <c r="B1" t="s">
        <v>50</v>
      </c>
      <c r="C1" t="s">
        <v>200</v>
      </c>
      <c r="D1" t="s">
        <v>178</v>
      </c>
      <c r="E1" t="s">
        <v>186</v>
      </c>
    </row>
    <row r="2" spans="1:5" x14ac:dyDescent="0.3">
      <c r="A2" t="s">
        <v>18</v>
      </c>
      <c r="B2" t="s">
        <v>31</v>
      </c>
      <c r="C2" t="s">
        <v>199</v>
      </c>
      <c r="D2" t="s">
        <v>179</v>
      </c>
      <c r="E2" t="s">
        <v>187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6.5" x14ac:dyDescent="0.3"/>
  <cols>
    <col min="2" max="2" width="18.125" bestFit="1" customWidth="1"/>
    <col min="3" max="3" width="9.5" bestFit="1" customWidth="1"/>
    <col min="4" max="4" width="24.625" bestFit="1" customWidth="1"/>
    <col min="5" max="5" width="35.125" bestFit="1" customWidth="1"/>
  </cols>
  <sheetData>
    <row r="1" spans="1:4" x14ac:dyDescent="0.3">
      <c r="A1" t="s">
        <v>30</v>
      </c>
      <c r="B1" t="s">
        <v>50</v>
      </c>
      <c r="C1" t="s">
        <v>185</v>
      </c>
      <c r="D1" t="s">
        <v>182</v>
      </c>
    </row>
    <row r="2" spans="1:4" x14ac:dyDescent="0.3">
      <c r="A2" t="s">
        <v>18</v>
      </c>
      <c r="B2" t="s">
        <v>31</v>
      </c>
      <c r="C2" t="s">
        <v>101</v>
      </c>
      <c r="D2" t="s">
        <v>183</v>
      </c>
    </row>
    <row r="3" spans="1:4" x14ac:dyDescent="0.3">
      <c r="A3">
        <v>101</v>
      </c>
      <c r="B3" t="s">
        <v>181</v>
      </c>
      <c r="C3">
        <v>1</v>
      </c>
      <c r="D3">
        <v>5.4</v>
      </c>
    </row>
    <row r="4" spans="1:4" x14ac:dyDescent="0.3">
      <c r="A4">
        <v>102</v>
      </c>
      <c r="B4" t="s">
        <v>175</v>
      </c>
      <c r="C4">
        <v>2</v>
      </c>
      <c r="D4">
        <v>18.3</v>
      </c>
    </row>
    <row r="5" spans="1:4" x14ac:dyDescent="0.3">
      <c r="A5">
        <v>103</v>
      </c>
      <c r="B5" t="s">
        <v>174</v>
      </c>
      <c r="C5">
        <v>4</v>
      </c>
      <c r="D5">
        <v>3.8</v>
      </c>
    </row>
    <row r="6" spans="1:4" x14ac:dyDescent="0.3">
      <c r="A6">
        <v>104</v>
      </c>
      <c r="B6" t="s">
        <v>173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30</v>
      </c>
      <c r="B1" t="s">
        <v>50</v>
      </c>
      <c r="C1" t="s">
        <v>92</v>
      </c>
      <c r="D1" t="s">
        <v>94</v>
      </c>
      <c r="E1" t="s">
        <v>105</v>
      </c>
    </row>
    <row r="2" spans="1:5" x14ac:dyDescent="0.3">
      <c r="A2" t="s">
        <v>18</v>
      </c>
      <c r="B2" t="s">
        <v>31</v>
      </c>
      <c r="C2" t="s">
        <v>93</v>
      </c>
      <c r="D2" t="s">
        <v>95</v>
      </c>
      <c r="E2" t="s">
        <v>106</v>
      </c>
    </row>
    <row r="3" spans="1:5" x14ac:dyDescent="0.3">
      <c r="A3">
        <v>201</v>
      </c>
      <c r="B3" t="s">
        <v>176</v>
      </c>
      <c r="C3">
        <v>2</v>
      </c>
      <c r="D3">
        <v>250</v>
      </c>
      <c r="E3">
        <v>1</v>
      </c>
    </row>
    <row r="4" spans="1:5" x14ac:dyDescent="0.3">
      <c r="A4">
        <v>202</v>
      </c>
      <c r="B4" t="s">
        <v>184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30</v>
      </c>
      <c r="B1" t="s">
        <v>149</v>
      </c>
      <c r="C1" t="s">
        <v>148</v>
      </c>
      <c r="D1" t="s">
        <v>151</v>
      </c>
    </row>
    <row r="2" spans="1:4" x14ac:dyDescent="0.3">
      <c r="A2" t="s">
        <v>115</v>
      </c>
      <c r="B2" t="s">
        <v>150</v>
      </c>
      <c r="C2" t="s">
        <v>22</v>
      </c>
      <c r="D2" t="s">
        <v>152</v>
      </c>
    </row>
    <row r="3" spans="1:4" x14ac:dyDescent="0.3">
      <c r="A3">
        <v>1</v>
      </c>
      <c r="B3">
        <v>2</v>
      </c>
      <c r="C3" t="s">
        <v>154</v>
      </c>
      <c r="D3" t="s">
        <v>153</v>
      </c>
    </row>
    <row r="4" spans="1:4" x14ac:dyDescent="0.3">
      <c r="A4">
        <v>2</v>
      </c>
      <c r="B4">
        <v>3</v>
      </c>
      <c r="C4" t="s">
        <v>155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30</v>
      </c>
      <c r="B1" t="s">
        <v>156</v>
      </c>
      <c r="C1" t="s">
        <v>157</v>
      </c>
      <c r="D1" t="s">
        <v>158</v>
      </c>
    </row>
    <row r="2" spans="1:4" x14ac:dyDescent="0.3">
      <c r="A2" t="s">
        <v>115</v>
      </c>
      <c r="B2" t="s">
        <v>159</v>
      </c>
      <c r="C2" t="s">
        <v>160</v>
      </c>
      <c r="D2" t="s">
        <v>113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2023-04-12T22:56:38Z</dcterms:modified>
</cp:coreProperties>
</file>