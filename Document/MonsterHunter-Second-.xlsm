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21A41AB2-10F5-44C0-8155-D9CA65DED5CB}" xr6:coauthVersionLast="47" xr6:coauthVersionMax="47" xr10:uidLastSave="{00000000-0000-0000-0000-000000000000}"/>
  <bookViews>
    <workbookView xWindow="-110" yWindow="-110" windowWidth="19420" windowHeight="10420" tabRatio="999" firstSheet="4" activeTab="13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Player" sheetId="8" r:id="rId5"/>
    <sheet name="Monster" sheetId="15" r:id="rId6"/>
    <sheet name="Reward" sheetId="20" r:id="rId7"/>
    <sheet name="Boss" sheetId="12" r:id="rId8"/>
    <sheet name="Stat" sheetId="9" r:id="rId9"/>
    <sheet name="Attack" sheetId="11" r:id="rId10"/>
    <sheet name="Buff" sheetId="14" r:id="rId11"/>
    <sheet name="AI" sheetId="10" r:id="rId12"/>
    <sheet name="Item" sheetId="6" r:id="rId13"/>
    <sheet name="Weapon" sheetId="16" r:id="rId14"/>
    <sheet name="Shield" sheetId="24" r:id="rId15"/>
    <sheet name="Armor" sheetId="18" r:id="rId16"/>
    <sheet name="Consumable" sheetId="19" r:id="rId17"/>
    <sheet name="Dialogue" sheetId="22" r:id="rId18"/>
    <sheet name="Shop" sheetId="23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1" l="1"/>
  <c r="C4" i="11"/>
  <c r="D13" i="6"/>
  <c r="D9" i="6"/>
  <c r="D10" i="6"/>
  <c r="D11" i="6"/>
  <c r="D12" i="6"/>
  <c r="D4" i="6"/>
  <c r="D5" i="6"/>
  <c r="D6" i="6"/>
  <c r="D7" i="6"/>
  <c r="D8" i="6"/>
  <c r="D3" i="6"/>
  <c r="D12" i="2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  <c r="D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E84C0A62-EEE5-4AAD-8703-FD016A5AFDA9}">
      <text>
        <r>
          <rPr>
            <b/>
            <sz val="9"/>
            <color indexed="81"/>
            <rFont val="돋움"/>
            <family val="3"/>
            <charset val="129"/>
          </rPr>
          <t xml:space="preserve">1 Warrior
2 Knight
3 Wanderer
4 Thief
5 Bandit
6 Hunter
7 Sorcerer
8 Pyromancer
9 Cleric
10 Deprived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1A3CD10-F382-4E14-9621-A88DEDFA9C12}">
      <text>
        <r>
          <rPr>
            <b/>
            <sz val="9"/>
            <color indexed="81"/>
            <rFont val="돋움"/>
            <family val="3"/>
            <charset val="129"/>
          </rPr>
          <t>Daggers
Straight SwordsGreatswords
Ultra Greatswords
Curved Swordsuchigatana-icon.png
Katanas
Curved Greatswords
Piercing Swords
Axes
Greataxes
Hammers
Great Hammers
Fist &amp; Claws
Spears &amp; Pikes
Halberds
Reapers
Whips
Bows
Greatbows
Crossbows
Staves
Flames
Talismans
Sacred Chimes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7D26B24A-F2D4-465D-ADC6-24CB7A71DA42}">
      <text>
        <r>
          <rPr>
            <b/>
            <sz val="9"/>
            <color indexed="81"/>
            <rFont val="돋움"/>
            <family val="3"/>
            <charset val="129"/>
          </rPr>
          <t>Samll = 1,
Standard = 2,
Greatshield = 3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sharedStrings.xml><?xml version="1.0" encoding="utf-8"?>
<sst xmlns="http://schemas.openxmlformats.org/spreadsheetml/2006/main" count="293" uniqueCount="226">
  <si>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</si>
  <si>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</si>
  <si>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</si>
  <si>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</si>
  <si>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</si>
  <si>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</si>
  <si>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</si>
  <si>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</si>
  <si>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</si>
  <si>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</si>
  <si>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</si>
  <si>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</si>
  <si>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</si>
  <si>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</si>
  <si>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</si>
  <si>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</si>
  <si>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</si>
  <si>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</si>
  <si>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</si>
  <si>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</si>
  <si>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</si>
  <si>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</si>
  <si>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</si>
  <si>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</si>
  <si>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</si>
  <si>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</si>
  <si>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</si>
  <si>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</si>
  <si>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</si>
  <si>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</si>
  <si>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</si>
  <si>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이름</t>
    <phoneticPr fontId="1" type="noConversion"/>
  </si>
  <si>
    <t>냥코스</t>
    <phoneticPr fontId="1" type="noConversion"/>
  </si>
  <si>
    <t>#Prefab_Path</t>
    <phoneticPr fontId="1" type="noConversion"/>
  </si>
  <si>
    <t>class</t>
    <phoneticPr fontId="1" type="noConversion"/>
  </si>
  <si>
    <t>직업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</si>
  <si>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</si>
  <si>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</si>
  <si>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</si>
  <si>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</si>
  <si>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</si>
  <si>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</si>
  <si>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</si>
  <si>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</si>
  <si>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</si>
  <si>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</si>
  <si>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</si>
  <si>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</si>
  <si>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</si>
  <si>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</si>
  <si>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</si>
  <si>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</si>
  <si>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</si>
  <si>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</si>
  <si>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</si>
  <si>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</si>
  <si>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</si>
  <si>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</si>
  <si>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</si>
  <si>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</si>
  <si>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Player</t>
    <phoneticPr fontId="1" type="noConversion"/>
  </si>
  <si>
    <t>Monster</t>
    <phoneticPr fontId="1" type="noConversion"/>
  </si>
  <si>
    <t>RewardGold</t>
    <phoneticPr fontId="1" type="noConversion"/>
  </si>
  <si>
    <t>RewardItem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</si>
  <si>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</si>
  <si>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</si>
  <si>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</si>
  <si>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</si>
  <si>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</si>
  <si>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</si>
  <si>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</si>
  <si>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</si>
  <si>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</si>
  <si>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</si>
  <si>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</si>
  <si>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</si>
  <si>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</si>
  <si>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</si>
  <si>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</si>
  <si>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</si>
  <si>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sword and shield slash1</t>
  </si>
  <si>
    <t>Boss</t>
    <phoneticPr fontId="1" type="noConversion"/>
  </si>
  <si>
    <t>Class</t>
    <phoneticPr fontId="1" type="noConversion"/>
  </si>
  <si>
    <t>클래스</t>
    <phoneticPr fontId="1" type="noConversion"/>
  </si>
  <si>
    <t>Idx</t>
  </si>
  <si>
    <t>Name</t>
  </si>
  <si>
    <t>NextNum</t>
  </si>
  <si>
    <t>아이디</t>
  </si>
  <si>
    <t>기술 이름</t>
  </si>
  <si>
    <t>다음 연속기 번호</t>
  </si>
  <si>
    <t>WeaponType</t>
    <phoneticPr fontId="1" type="noConversion"/>
  </si>
  <si>
    <t>무기 타입</t>
    <phoneticPr fontId="1" type="noConversion"/>
  </si>
  <si>
    <t>ConsumableType</t>
    <phoneticPr fontId="1" type="noConversion"/>
  </si>
  <si>
    <t>소비 타입</t>
    <phoneticPr fontId="1" type="noConversion"/>
  </si>
  <si>
    <t>Value</t>
    <phoneticPr fontId="1" type="noConversion"/>
  </si>
  <si>
    <t>회복 수치?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</si>
  <si>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</si>
  <si>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</si>
  <si>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</si>
  <si>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</si>
  <si>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</si>
  <si>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</si>
  <si>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아이콘</t>
  </si>
  <si>
    <t>프리팹</t>
  </si>
  <si>
    <t>설명</t>
  </si>
  <si>
    <t>가장 기본적인 론델검</t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</si>
  <si>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</si>
  <si>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</si>
  <si>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</si>
  <si>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무기 경로</t>
    <phoneticPr fontId="1" type="noConversion"/>
  </si>
  <si>
    <t>아이템 경로</t>
    <phoneticPr fontId="1" type="noConversion"/>
  </si>
  <si>
    <t>소비템 경로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</si>
  <si>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</si>
  <si>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</si>
  <si>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</si>
  <si>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</si>
  <si>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</si>
  <si>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</si>
  <si>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</si>
  <si>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</si>
  <si>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</si>
  <si>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</si>
  <si>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</si>
  <si>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</si>
  <si>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</si>
  <si>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인덱스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</si>
  <si>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</si>
  <si>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</si>
  <si>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</si>
  <si>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</si>
  <si>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</si>
  <si>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</si>
  <si>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</si>
  <si>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</si>
  <si>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</si>
  <si>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</si>
  <si>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</si>
  <si>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</si>
  <si>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</si>
  <si>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</si>
  <si>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</si>
  <si>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</si>
  <si>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</si>
  <si>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</si>
  <si>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</si>
  <si>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</si>
  <si>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</si>
  <si>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</si>
  <si>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</si>
  <si>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</si>
  <si>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</si>
  <si>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</si>
  <si>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slash2</t>
    <phoneticPr fontId="1" type="noConversion"/>
  </si>
  <si>
    <t>sword and shield slash3</t>
    <phoneticPr fontId="1" type="noConversion"/>
  </si>
  <si>
    <t>Skeleton Warior Attack 1</t>
  </si>
  <si>
    <t>SkeletonShieldWarrior Idle</t>
    <phoneticPr fontId="1" type="noConversion"/>
  </si>
  <si>
    <t>SkeletonShieldWarrior Dead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</si>
  <si>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</si>
  <si>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</si>
  <si>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</si>
  <si>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</si>
  <si>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</si>
  <si>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</si>
  <si>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</si>
  <si>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</si>
  <si>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</si>
  <si>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</si>
  <si>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</si>
  <si>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</si>
  <si>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</si>
  <si>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</si>
  <si>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</si>
  <si>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</si>
  <si>
    <t>Skeleton Warior</t>
    <phoneticPr fontId="1" type="noConversion"/>
  </si>
  <si>
    <t>Skeleton Knight</t>
    <phoneticPr fontId="1" type="noConversion"/>
  </si>
  <si>
    <t>Skeleton Archer</t>
    <phoneticPr fontId="1" type="noConversion"/>
  </si>
  <si>
    <t>Monster/Normal/SkeletonKnight</t>
    <phoneticPr fontId="1" type="noConversion"/>
  </si>
  <si>
    <t>Monster/Normal/SkeletonArcher</t>
    <phoneticPr fontId="1" type="noConversion"/>
  </si>
  <si>
    <t>Monster/Normal/SkeletonWarior</t>
    <phoneticPr fontId="1" type="noConversion"/>
  </si>
  <si>
    <t>Orc</t>
    <phoneticPr fontId="1" type="noConversion"/>
  </si>
  <si>
    <t>Dagger</t>
    <phoneticPr fontId="1" type="noConversion"/>
  </si>
  <si>
    <t>Parrying Dagger</t>
  </si>
  <si>
    <t>Rotten Ghru Dagger</t>
  </si>
  <si>
    <t>Shortsword</t>
  </si>
  <si>
    <t>Broken Straight Sword</t>
  </si>
  <si>
    <t>Catarina Leggings</t>
  </si>
  <si>
    <t>Catarina Gauntlets</t>
  </si>
  <si>
    <t>Catarina Armor</t>
  </si>
  <si>
    <t>Catarina Helm</t>
  </si>
  <si>
    <t>Estus Flask</t>
  </si>
  <si>
    <t>Estus Flask</t>
    <phoneticPr fontId="1" type="noConversion"/>
  </si>
  <si>
    <t>Physical</t>
    <phoneticPr fontId="1" type="noConversion"/>
  </si>
  <si>
    <t>물리</t>
    <phoneticPr fontId="1" type="noConversion"/>
  </si>
  <si>
    <t>Broadsword</t>
  </si>
  <si>
    <t>Catarina Helm</t>
    <phoneticPr fontId="1" type="noConversion"/>
  </si>
  <si>
    <t>Physical Resitance</t>
    <phoneticPr fontId="1" type="noConversion"/>
  </si>
  <si>
    <t>물리 방어력</t>
    <phoneticPr fontId="1" type="noConversion"/>
  </si>
  <si>
    <t>Ashen Estus Flask</t>
  </si>
  <si>
    <t>ArmorType</t>
    <phoneticPr fontId="1" type="noConversion"/>
  </si>
  <si>
    <t>Item/Weapon/Katana</t>
    <phoneticPr fontId="1" type="noConversion"/>
  </si>
  <si>
    <t>동양의 오래된 검</t>
    <phoneticPr fontId="1" type="noConversion"/>
  </si>
  <si>
    <t>Item/Weapon/Broadsword</t>
    <phoneticPr fontId="1" type="noConversion"/>
  </si>
  <si>
    <t>날카롭다</t>
    <phoneticPr fontId="1" type="noConversion"/>
  </si>
  <si>
    <t>Item/Shield/Crude Shield</t>
    <phoneticPr fontId="1" type="noConversion"/>
  </si>
  <si>
    <t>낡은 방패</t>
    <phoneticPr fontId="1" type="noConversion"/>
  </si>
  <si>
    <t>Damage Reduction</t>
    <phoneticPr fontId="1" type="noConversion"/>
  </si>
  <si>
    <t>피해 감소율 (%)</t>
    <phoneticPr fontId="1" type="noConversion"/>
  </si>
  <si>
    <t>Dagger</t>
    <phoneticPr fontId="1" type="noConversion"/>
  </si>
  <si>
    <t>Katana</t>
  </si>
  <si>
    <t>Broadsword</t>
    <phoneticPr fontId="1" type="noConversion"/>
  </si>
  <si>
    <t>Broken Straight Sword</t>
    <phoneticPr fontId="1" type="noConversion"/>
  </si>
  <si>
    <t>Crude Shield</t>
    <phoneticPr fontId="1" type="noConversion"/>
  </si>
  <si>
    <t>Blow Skeleton Attack 2</t>
  </si>
  <si>
    <t>Blow Skeleton Attack 1</t>
    <phoneticPr fontId="1" type="noConversion"/>
  </si>
  <si>
    <t>Blow Skeleton Warior Combo Attack 1</t>
  </si>
  <si>
    <t>Blow Skeleton Warior Combo Attack 2</t>
  </si>
  <si>
    <t>Daggers Light Attack 1</t>
    <phoneticPr fontId="1" type="noConversion"/>
  </si>
  <si>
    <t>Daggers Light Attack 2</t>
    <phoneticPr fontId="1" type="noConversion"/>
  </si>
  <si>
    <t>Daggers Heavy Attack 1</t>
    <phoneticPr fontId="1" type="noConversion"/>
  </si>
  <si>
    <t>Straight Swords Light Attack 1</t>
    <phoneticPr fontId="1" type="noConversion"/>
  </si>
  <si>
    <t>Straight Swords Light Attack 2</t>
    <phoneticPr fontId="1" type="noConversion"/>
  </si>
  <si>
    <t>Straight Swords Heavy Attack 1</t>
    <phoneticPr fontId="1" type="noConversion"/>
  </si>
  <si>
    <t>Straight Swords Heavy Attack 2</t>
    <phoneticPr fontId="1" type="noConversion"/>
  </si>
  <si>
    <t>Art/Textures/UI/Item/</t>
    <phoneticPr fontId="1" type="noConversion"/>
  </si>
  <si>
    <t>쉴드 타입</t>
    <phoneticPr fontId="1" type="noConversion"/>
  </si>
  <si>
    <t>Shield Type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</si>
</sst>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F7" sqref="F7"/>
    </sheetView>
  </sheetViews>
  <sheetFormatPr defaultRowHeight="17" x14ac:dyDescent="0.45"/>
  <cols>
    <col min="1" max="1" width="23" bestFit="1" customWidth="1"/>
    <col min="3" max="3" width="9.58203125" bestFit="1" customWidth="1"/>
    <col min="4" max="4" width="19.33203125" bestFit="1" customWidth="1"/>
  </cols>
  <sheetData>
    <row r="1" spans="1:14" x14ac:dyDescent="0.45">
      <c r="A1" t="s">
        <v>85</v>
      </c>
      <c r="B1" t="s">
        <v>126</v>
      </c>
      <c r="C1" t="s">
        <v>127</v>
      </c>
      <c r="D1" t="s">
        <v>128</v>
      </c>
      <c r="F1" t="s">
        <v>129</v>
      </c>
    </row>
    <row r="2" spans="1:14" x14ac:dyDescent="0.45">
      <c r="A2" t="s">
        <v>99</v>
      </c>
      <c r="B2" t="s">
        <v>100</v>
      </c>
      <c r="C2" t="s">
        <v>130</v>
      </c>
      <c r="D2" t="s">
        <v>131</v>
      </c>
      <c r="F2" t="s">
        <v>132</v>
      </c>
    </row>
    <row r="3" spans="1:14" x14ac:dyDescent="0.45">
      <c r="A3" t="s">
        <v>133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134</v>
      </c>
      <c r="J3">
        <v>0</v>
      </c>
    </row>
    <row r="4" spans="1:14" x14ac:dyDescent="0.45">
      <c r="A4" t="s">
        <v>135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136</v>
      </c>
      <c r="J4">
        <v>1</v>
      </c>
      <c r="K4" t="s">
        <v>137</v>
      </c>
    </row>
    <row r="5" spans="1:14" x14ac:dyDescent="0.45">
      <c r="A5" t="s">
        <v>80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138</v>
      </c>
    </row>
    <row r="6" spans="1:14" x14ac:dyDescent="0.45">
      <c r="A6" t="s">
        <v>152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139</v>
      </c>
    </row>
    <row r="7" spans="1:14" x14ac:dyDescent="0.45">
      <c r="A7" t="s">
        <v>153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140</v>
      </c>
    </row>
    <row r="8" spans="1:14" x14ac:dyDescent="0.45">
      <c r="A8" t="s">
        <v>155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45">
      <c r="A9" t="s">
        <v>141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45">
      <c r="A10" t="s">
        <v>142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45">
      <c r="A11" t="s">
        <v>156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45">
      <c r="A12" t="s">
        <v>154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45">
      <c r="A13" t="s">
        <v>157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45">
      <c r="A14" t="s">
        <v>143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45">
      <c r="A15" t="s">
        <v>144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45">
      <c r="A16" t="s">
        <v>145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45">
      <c r="A17" t="s">
        <v>146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45">
      <c r="A18" t="s">
        <v>147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45">
      <c r="A19" t="s">
        <v>148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45">
      <c r="A20" t="s">
        <v>149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45">
      <c r="A21" t="s">
        <v>150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45">
      <c r="A22" t="s">
        <v>151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27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20</v>
      </c>
      <c r="B1" t="s">
        <v>21</v>
      </c>
      <c r="C1" t="s">
        <v>22</v>
      </c>
      <c r="D1" t="s">
        <v>23</v>
      </c>
    </row>
    <row r="2" spans="1:4" x14ac:dyDescent="0.45">
      <c r="A2" t="s">
        <v>24</v>
      </c>
      <c r="B2" t="s">
        <v>21</v>
      </c>
      <c r="C2" t="s">
        <v>22</v>
      </c>
      <c r="D2" t="s">
        <v>23</v>
      </c>
    </row>
    <row r="3" spans="1:4" x14ac:dyDescent="0.45">
      <c r="A3">
        <v>1001</v>
      </c>
      <c r="B3" t="s">
        <v>25</v>
      </c>
    </row>
    <row r="4" spans="1:4" x14ac:dyDescent="0.45">
      <c r="A4">
        <v>10001</v>
      </c>
      <c r="B4" t="s">
        <v>26</v>
      </c>
    </row>
    <row r="5" spans="1:4" x14ac:dyDescent="0.45">
      <c r="A5">
        <v>1800</v>
      </c>
      <c r="B5" t="s">
        <v>28</v>
      </c>
    </row>
    <row r="6" spans="1:4" x14ac:dyDescent="0.45">
      <c r="A6">
        <v>1100</v>
      </c>
      <c r="B6" t="s">
        <v>29</v>
      </c>
    </row>
    <row r="7" spans="1:4" x14ac:dyDescent="0.45">
      <c r="A7">
        <v>2001</v>
      </c>
      <c r="B7" t="s">
        <v>32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3"/>
  <sheetViews>
    <sheetView workbookViewId="0">
      <selection activeCell="C6" sqref="C6"/>
    </sheetView>
  </sheetViews>
  <sheetFormatPr defaultColWidth="9" defaultRowHeight="17" x14ac:dyDescent="0.45"/>
  <cols>
    <col min="1" max="2" width="9" style="1"/>
    <col min="3" max="3" width="14.08203125" style="1" bestFit="1" customWidth="1"/>
    <col min="4" max="4" width="9" style="1"/>
    <col min="5" max="5" width="27" style="1" bestFit="1" customWidth="1"/>
    <col min="6" max="16384" width="9" style="1"/>
  </cols>
  <sheetData>
    <row r="1" spans="1:3" x14ac:dyDescent="0.45">
      <c r="A1" s="1" t="s">
        <v>30</v>
      </c>
      <c r="B1" s="1" t="s">
        <v>34</v>
      </c>
      <c r="C1" s="1" t="s">
        <v>33</v>
      </c>
    </row>
    <row r="2" spans="1:3" x14ac:dyDescent="0.45">
      <c r="A2" s="1" t="s">
        <v>18</v>
      </c>
      <c r="B2" s="1" t="s">
        <v>35</v>
      </c>
      <c r="C2" s="1" t="s">
        <v>37</v>
      </c>
    </row>
    <row r="3" spans="1:3" x14ac:dyDescent="0.45">
      <c r="A3" s="1">
        <v>1</v>
      </c>
      <c r="B3" s="1">
        <v>2</v>
      </c>
      <c r="C3" s="1" t="s">
        <v>79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5"/>
  <sheetViews>
    <sheetView workbookViewId="0">
      <selection activeCell="E5" sqref="E5"/>
    </sheetView>
  </sheetViews>
  <sheetFormatPr defaultRowHeight="17" x14ac:dyDescent="0.45"/>
  <cols>
    <col min="1" max="1" width="7.08203125" bestFit="1" customWidth="1"/>
    <col min="2" max="2" width="15.58203125" bestFit="1" customWidth="1"/>
    <col min="3" max="3" width="8.5" customWidth="1"/>
    <col min="4" max="4" width="35.83203125" style="1" bestFit="1" customWidth="1"/>
    <col min="5" max="5" width="7.08203125" bestFit="1" customWidth="1"/>
  </cols>
  <sheetData>
    <row r="1" spans="1:5" x14ac:dyDescent="0.45">
      <c r="A1" t="s">
        <v>30</v>
      </c>
      <c r="B1" t="s">
        <v>50</v>
      </c>
      <c r="C1" s="1" t="s">
        <v>82</v>
      </c>
      <c r="D1" s="1" t="s">
        <v>33</v>
      </c>
      <c r="E1" s="1" t="s">
        <v>76</v>
      </c>
    </row>
    <row r="2" spans="1:5" x14ac:dyDescent="0.45">
      <c r="A2" t="s">
        <v>18</v>
      </c>
      <c r="B2" t="s">
        <v>31</v>
      </c>
      <c r="C2" s="1" t="s">
        <v>35</v>
      </c>
      <c r="D2" s="1" t="s">
        <v>37</v>
      </c>
      <c r="E2" s="1" t="s">
        <v>77</v>
      </c>
    </row>
    <row r="3" spans="1:5" x14ac:dyDescent="0.45">
      <c r="A3">
        <v>101</v>
      </c>
      <c r="B3" t="s">
        <v>173</v>
      </c>
      <c r="C3" s="1">
        <v>1</v>
      </c>
      <c r="D3" s="1" t="s">
        <v>178</v>
      </c>
      <c r="E3">
        <v>1</v>
      </c>
    </row>
    <row r="4" spans="1:5" x14ac:dyDescent="0.45">
      <c r="A4">
        <v>102</v>
      </c>
      <c r="B4" t="s">
        <v>174</v>
      </c>
      <c r="C4" s="1">
        <v>2</v>
      </c>
      <c r="D4" s="1" t="s">
        <v>176</v>
      </c>
      <c r="E4">
        <v>1</v>
      </c>
    </row>
    <row r="5" spans="1:5" x14ac:dyDescent="0.45">
      <c r="A5">
        <v>103</v>
      </c>
      <c r="B5" t="s">
        <v>175</v>
      </c>
      <c r="C5" s="1">
        <v>3</v>
      </c>
      <c r="D5" s="1" t="s">
        <v>177</v>
      </c>
      <c r="E5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30</v>
      </c>
      <c r="B1" t="s">
        <v>118</v>
      </c>
      <c r="C1" t="s">
        <v>119</v>
      </c>
      <c r="D1" t="s">
        <v>120</v>
      </c>
    </row>
    <row r="2" spans="1:4" x14ac:dyDescent="0.45">
      <c r="A2" t="s">
        <v>18</v>
      </c>
      <c r="B2" t="s">
        <v>121</v>
      </c>
      <c r="C2" t="s">
        <v>122</v>
      </c>
      <c r="D2" t="s">
        <v>123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  <row r="6" spans="1:4" x14ac:dyDescent="0.45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4"/>
  <sheetViews>
    <sheetView workbookViewId="0">
      <selection activeCell="E4" sqref="E4"/>
    </sheetView>
  </sheetViews>
  <sheetFormatPr defaultRowHeight="17" x14ac:dyDescent="0.45"/>
  <cols>
    <col min="1" max="1" width="7.08203125" bestFit="1" customWidth="1"/>
    <col min="2" max="2" width="11.58203125" customWidth="1"/>
    <col min="3" max="3" width="10.08203125" customWidth="1"/>
    <col min="4" max="4" width="12.08203125" bestFit="1" customWidth="1"/>
    <col min="5" max="5" width="11.58203125" bestFit="1" customWidth="1"/>
    <col min="6" max="6" width="27" style="1" bestFit="1" customWidth="1"/>
  </cols>
  <sheetData>
    <row r="1" spans="1:7" x14ac:dyDescent="0.45">
      <c r="A1" t="s">
        <v>30</v>
      </c>
      <c r="B1" t="s">
        <v>50</v>
      </c>
      <c r="C1" t="s">
        <v>82</v>
      </c>
      <c r="D1" t="s">
        <v>62</v>
      </c>
      <c r="E1" t="s">
        <v>63</v>
      </c>
      <c r="F1" s="1" t="s">
        <v>33</v>
      </c>
      <c r="G1" s="1" t="s">
        <v>76</v>
      </c>
    </row>
    <row r="2" spans="1:7" x14ac:dyDescent="0.45">
      <c r="A2" t="s">
        <v>18</v>
      </c>
      <c r="B2" t="s">
        <v>31</v>
      </c>
      <c r="C2" t="s">
        <v>83</v>
      </c>
      <c r="D2" t="s">
        <v>64</v>
      </c>
      <c r="E2" t="s">
        <v>65</v>
      </c>
      <c r="F2" s="1" t="s">
        <v>37</v>
      </c>
      <c r="G2" s="1" t="s">
        <v>77</v>
      </c>
    </row>
    <row r="3" spans="1:7" x14ac:dyDescent="0.45">
      <c r="A3">
        <v>1001</v>
      </c>
      <c r="B3" t="s">
        <v>179</v>
      </c>
      <c r="C3">
        <v>1</v>
      </c>
      <c r="D3">
        <v>10000</v>
      </c>
      <c r="E3">
        <v>0</v>
      </c>
      <c r="F3" s="1" t="s">
        <v>78</v>
      </c>
      <c r="G3">
        <v>1</v>
      </c>
    </row>
    <row r="4" spans="1:7" x14ac:dyDescent="0.45">
      <c r="A4">
        <v>1002</v>
      </c>
      <c r="B4" t="s">
        <v>171</v>
      </c>
      <c r="C4">
        <v>1</v>
      </c>
      <c r="D4">
        <v>10000</v>
      </c>
      <c r="E4">
        <v>4</v>
      </c>
      <c r="F4" s="1" t="s">
        <v>172</v>
      </c>
      <c r="G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6"/>
  <sheetViews>
    <sheetView workbookViewId="0">
      <selection activeCell="I4" sqref="I4"/>
    </sheetView>
  </sheetViews>
  <sheetFormatPr defaultColWidth="9" defaultRowHeight="17" x14ac:dyDescent="0.45"/>
  <cols>
    <col min="1" max="6" width="9" style="1"/>
    <col min="7" max="7" width="11.33203125" style="1" customWidth="1"/>
    <col min="8" max="8" width="11.58203125" style="1" bestFit="1" customWidth="1"/>
    <col min="9" max="16384" width="9" style="1"/>
  </cols>
  <sheetData>
    <row r="1" spans="1:8" x14ac:dyDescent="0.45">
      <c r="A1" s="1" t="s">
        <v>30</v>
      </c>
      <c r="B1" s="1" t="s">
        <v>42</v>
      </c>
      <c r="C1" s="1" t="s">
        <v>124</v>
      </c>
      <c r="D1" s="1" t="s">
        <v>43</v>
      </c>
      <c r="E1" s="1" t="s">
        <v>36</v>
      </c>
      <c r="F1" s="1" t="s">
        <v>44</v>
      </c>
      <c r="G1" s="1" t="s">
        <v>46</v>
      </c>
      <c r="H1" s="1" t="s">
        <v>48</v>
      </c>
    </row>
    <row r="2" spans="1:8" x14ac:dyDescent="0.45">
      <c r="A2" s="1" t="s">
        <v>18</v>
      </c>
      <c r="B2" s="1" t="s">
        <v>39</v>
      </c>
      <c r="C2" s="1" t="s">
        <v>39</v>
      </c>
      <c r="D2" s="1" t="s">
        <v>40</v>
      </c>
      <c r="E2" s="1" t="s">
        <v>38</v>
      </c>
      <c r="F2" s="1" t="s">
        <v>41</v>
      </c>
      <c r="G2" s="1" t="s">
        <v>47</v>
      </c>
      <c r="H2" s="1" t="s">
        <v>49</v>
      </c>
    </row>
    <row r="3" spans="1:8" x14ac:dyDescent="0.45">
      <c r="A3" s="1">
        <v>1</v>
      </c>
      <c r="B3" s="1">
        <v>403</v>
      </c>
      <c r="C3" s="1">
        <v>93</v>
      </c>
      <c r="D3" s="1">
        <v>94</v>
      </c>
      <c r="E3" s="1">
        <v>0</v>
      </c>
      <c r="F3" s="1">
        <v>0</v>
      </c>
      <c r="G3" s="1">
        <v>3</v>
      </c>
      <c r="H3" s="1">
        <v>5</v>
      </c>
    </row>
    <row r="4" spans="1:8" x14ac:dyDescent="0.45">
      <c r="A4" s="1">
        <v>2</v>
      </c>
      <c r="B4" s="1">
        <v>150</v>
      </c>
      <c r="C4" s="1">
        <v>30</v>
      </c>
      <c r="D4" s="1">
        <v>30</v>
      </c>
      <c r="E4" s="1">
        <v>0</v>
      </c>
      <c r="F4" s="1">
        <v>0</v>
      </c>
      <c r="G4" s="1">
        <v>3</v>
      </c>
      <c r="H4" s="1">
        <v>5</v>
      </c>
    </row>
    <row r="5" spans="1:8" x14ac:dyDescent="0.45">
      <c r="A5" s="1">
        <v>101</v>
      </c>
      <c r="B5" s="1">
        <v>170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</row>
    <row r="6" spans="1:8" x14ac:dyDescent="0.45">
      <c r="A6" s="1">
        <v>102</v>
      </c>
      <c r="B6" s="1">
        <v>154</v>
      </c>
      <c r="C6" s="1">
        <v>0</v>
      </c>
      <c r="D6" s="1">
        <v>0</v>
      </c>
      <c r="E6" s="1">
        <v>5</v>
      </c>
      <c r="F6" s="1">
        <v>1</v>
      </c>
      <c r="G6" s="1">
        <v>2.5</v>
      </c>
      <c r="H6" s="1">
        <v>4</v>
      </c>
    </row>
    <row r="7" spans="1:8" x14ac:dyDescent="0.45">
      <c r="A7" s="1">
        <v>103</v>
      </c>
      <c r="B7" s="1">
        <v>120</v>
      </c>
      <c r="C7" s="1">
        <v>0</v>
      </c>
      <c r="D7" s="1">
        <v>0</v>
      </c>
      <c r="E7" s="1">
        <v>10</v>
      </c>
      <c r="F7" s="1">
        <v>0</v>
      </c>
      <c r="G7" s="1">
        <v>2</v>
      </c>
      <c r="H7" s="1">
        <v>3</v>
      </c>
    </row>
    <row r="8" spans="1:8" x14ac:dyDescent="0.45">
      <c r="A8" s="1">
        <v>1001</v>
      </c>
      <c r="B8" s="1">
        <v>5000</v>
      </c>
      <c r="C8" s="1">
        <v>0</v>
      </c>
      <c r="D8" s="1">
        <v>0</v>
      </c>
      <c r="E8" s="1">
        <v>10</v>
      </c>
      <c r="F8" s="1">
        <v>5</v>
      </c>
      <c r="G8" s="1">
        <v>2</v>
      </c>
      <c r="H8" s="1">
        <v>2</v>
      </c>
    </row>
    <row r="9" spans="1:8" x14ac:dyDescent="0.45">
      <c r="A9" s="1">
        <v>1002</v>
      </c>
      <c r="B9" s="1">
        <v>1500</v>
      </c>
      <c r="C9" s="1">
        <v>0</v>
      </c>
      <c r="D9" s="1">
        <v>0</v>
      </c>
      <c r="E9" s="1">
        <v>15</v>
      </c>
      <c r="F9" s="1">
        <v>1</v>
      </c>
      <c r="G9" s="1">
        <v>2</v>
      </c>
      <c r="H9" s="1">
        <v>3</v>
      </c>
    </row>
    <row r="14" spans="1:8" x14ac:dyDescent="0.45">
      <c r="G14" s="1">
        <v>1</v>
      </c>
      <c r="H14" s="1" t="s">
        <v>60</v>
      </c>
    </row>
    <row r="15" spans="1:8" x14ac:dyDescent="0.45">
      <c r="G15" s="1">
        <v>11</v>
      </c>
      <c r="H15" s="1" t="s">
        <v>61</v>
      </c>
    </row>
    <row r="16" spans="1:8" x14ac:dyDescent="0.45">
      <c r="G16" s="1">
        <v>101</v>
      </c>
      <c r="H16" s="1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13"/>
  <sheetViews>
    <sheetView workbookViewId="0">
      <selection activeCell="E3" sqref="E3"/>
    </sheetView>
  </sheetViews>
  <sheetFormatPr defaultRowHeight="17" x14ac:dyDescent="0.45"/>
  <cols>
    <col min="1" max="1" width="9.08203125" bestFit="1" customWidth="1"/>
    <col min="2" max="2" width="37" bestFit="1" customWidth="1"/>
    <col min="3" max="3" width="15.75" bestFit="1" customWidth="1"/>
  </cols>
  <sheetData>
    <row r="1" spans="1:3" x14ac:dyDescent="0.45">
      <c r="A1" t="s">
        <v>84</v>
      </c>
      <c r="B1" t="s">
        <v>85</v>
      </c>
      <c r="C1" t="s">
        <v>86</v>
      </c>
    </row>
    <row r="2" spans="1:3" x14ac:dyDescent="0.45">
      <c r="A2" t="s">
        <v>87</v>
      </c>
      <c r="B2" t="s">
        <v>88</v>
      </c>
      <c r="C2" t="s">
        <v>89</v>
      </c>
    </row>
    <row r="3" spans="1:3" x14ac:dyDescent="0.45">
      <c r="A3">
        <v>1</v>
      </c>
      <c r="B3" t="s">
        <v>216</v>
      </c>
      <c r="C3">
        <f>A4</f>
        <v>2</v>
      </c>
    </row>
    <row r="4" spans="1:3" x14ac:dyDescent="0.45">
      <c r="A4">
        <v>2</v>
      </c>
      <c r="B4" t="s">
        <v>217</v>
      </c>
      <c r="C4">
        <f>A5</f>
        <v>3</v>
      </c>
    </row>
    <row r="5" spans="1:3" x14ac:dyDescent="0.45">
      <c r="A5">
        <v>3</v>
      </c>
      <c r="B5" t="s">
        <v>218</v>
      </c>
      <c r="C5">
        <v>0</v>
      </c>
    </row>
    <row r="6" spans="1:3" x14ac:dyDescent="0.45">
      <c r="A6">
        <v>4</v>
      </c>
      <c r="B6" t="s">
        <v>219</v>
      </c>
      <c r="C6">
        <v>4</v>
      </c>
    </row>
    <row r="7" spans="1:3" x14ac:dyDescent="0.45">
      <c r="A7">
        <v>5</v>
      </c>
      <c r="B7" t="s">
        <v>220</v>
      </c>
      <c r="C7">
        <v>5</v>
      </c>
    </row>
    <row r="8" spans="1:3" x14ac:dyDescent="0.45">
      <c r="A8">
        <v>6</v>
      </c>
      <c r="B8" t="s">
        <v>221</v>
      </c>
      <c r="C8">
        <v>7</v>
      </c>
    </row>
    <row r="9" spans="1:3" x14ac:dyDescent="0.45">
      <c r="A9">
        <v>7</v>
      </c>
      <c r="B9" t="s">
        <v>222</v>
      </c>
      <c r="C9">
        <v>6</v>
      </c>
    </row>
    <row r="10" spans="1:3" x14ac:dyDescent="0.45">
      <c r="A10">
        <v>101</v>
      </c>
      <c r="B10" t="s">
        <v>213</v>
      </c>
      <c r="C10">
        <v>0</v>
      </c>
    </row>
    <row r="11" spans="1:3" x14ac:dyDescent="0.45">
      <c r="A11">
        <v>102</v>
      </c>
      <c r="B11" t="s">
        <v>212</v>
      </c>
      <c r="C11">
        <v>0</v>
      </c>
    </row>
    <row r="12" spans="1:3" x14ac:dyDescent="0.45">
      <c r="A12">
        <v>103</v>
      </c>
      <c r="B12" t="s">
        <v>214</v>
      </c>
      <c r="C12">
        <v>0</v>
      </c>
    </row>
    <row r="13" spans="1:3" x14ac:dyDescent="0.45">
      <c r="A13">
        <v>104</v>
      </c>
      <c r="B13" t="s">
        <v>215</v>
      </c>
      <c r="C13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30</v>
      </c>
      <c r="B1" s="1" t="s">
        <v>50</v>
      </c>
      <c r="C1" s="1" t="s">
        <v>59</v>
      </c>
      <c r="D1" s="1" t="s">
        <v>58</v>
      </c>
      <c r="E1" s="1" t="s">
        <v>54</v>
      </c>
      <c r="F1" s="1" t="s">
        <v>55</v>
      </c>
      <c r="G1" s="1" t="s">
        <v>56</v>
      </c>
      <c r="H1" s="1" t="s">
        <v>66</v>
      </c>
    </row>
    <row r="2" spans="1:8" x14ac:dyDescent="0.45">
      <c r="A2" s="1" t="s">
        <v>18</v>
      </c>
      <c r="B2" s="1" t="s">
        <v>51</v>
      </c>
      <c r="C2" s="1" t="s">
        <v>38</v>
      </c>
      <c r="D2" s="1" t="s">
        <v>45</v>
      </c>
      <c r="E2" s="1" t="s">
        <v>57</v>
      </c>
      <c r="F2" s="1" t="s">
        <v>52</v>
      </c>
      <c r="G2" s="1" t="s">
        <v>53</v>
      </c>
      <c r="H2" s="1" t="s">
        <v>67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8" sqref="D8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30</v>
      </c>
      <c r="B1" t="s">
        <v>17</v>
      </c>
      <c r="C1" t="s">
        <v>68</v>
      </c>
      <c r="D1" t="s">
        <v>69</v>
      </c>
      <c r="E1" t="s">
        <v>70</v>
      </c>
      <c r="F1" t="s">
        <v>71</v>
      </c>
    </row>
    <row r="2" spans="1:6" x14ac:dyDescent="0.45">
      <c r="A2" t="s">
        <v>18</v>
      </c>
      <c r="B2" t="s">
        <v>19</v>
      </c>
      <c r="C2" t="s">
        <v>72</v>
      </c>
      <c r="D2" t="s">
        <v>73</v>
      </c>
      <c r="E2" t="s">
        <v>75</v>
      </c>
      <c r="F2" t="s">
        <v>74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M13"/>
  <sheetViews>
    <sheetView topLeftCell="D1" workbookViewId="0">
      <selection activeCell="G6" sqref="G6"/>
    </sheetView>
  </sheetViews>
  <sheetFormatPr defaultRowHeight="17" x14ac:dyDescent="0.45"/>
  <cols>
    <col min="2" max="2" width="14.83203125" customWidth="1"/>
    <col min="3" max="3" width="8.83203125" bestFit="1" customWidth="1"/>
    <col min="4" max="4" width="50.58203125" bestFit="1" customWidth="1"/>
    <col min="5" max="5" width="25.33203125" bestFit="1" customWidth="1"/>
    <col min="6" max="6" width="20.58203125" bestFit="1" customWidth="1"/>
  </cols>
  <sheetData>
    <row r="1" spans="1:13" x14ac:dyDescent="0.45">
      <c r="A1" t="s">
        <v>84</v>
      </c>
      <c r="B1" t="s">
        <v>85</v>
      </c>
      <c r="C1" t="s">
        <v>96</v>
      </c>
      <c r="D1" t="s">
        <v>108</v>
      </c>
      <c r="E1" t="s">
        <v>97</v>
      </c>
      <c r="F1" t="s">
        <v>98</v>
      </c>
    </row>
    <row r="2" spans="1:13" x14ac:dyDescent="0.45">
      <c r="A2" t="s">
        <v>87</v>
      </c>
      <c r="B2" t="s">
        <v>99</v>
      </c>
      <c r="C2" t="s">
        <v>100</v>
      </c>
      <c r="D2" t="s">
        <v>102</v>
      </c>
      <c r="E2" t="s">
        <v>103</v>
      </c>
      <c r="F2" t="s">
        <v>104</v>
      </c>
      <c r="I2" t="s">
        <v>114</v>
      </c>
      <c r="J2" t="s">
        <v>112</v>
      </c>
      <c r="K2" t="s">
        <v>113</v>
      </c>
    </row>
    <row r="3" spans="1:13" x14ac:dyDescent="0.45">
      <c r="A3">
        <v>1</v>
      </c>
      <c r="B3" t="s">
        <v>180</v>
      </c>
      <c r="C3">
        <v>1</v>
      </c>
      <c r="D3" t="str">
        <f>IF(C3 = K$3, J$3, IF(C3 = K$4, J$4, J$5))&amp;B3</f>
        <v>Art/Textures/UI/Item/Dagger</v>
      </c>
      <c r="F3" t="s">
        <v>105</v>
      </c>
      <c r="I3" t="s">
        <v>115</v>
      </c>
      <c r="J3" t="s">
        <v>223</v>
      </c>
      <c r="K3">
        <v>1</v>
      </c>
      <c r="M3" t="s">
        <v>109</v>
      </c>
    </row>
    <row r="4" spans="1:13" x14ac:dyDescent="0.45">
      <c r="A4">
        <v>2</v>
      </c>
      <c r="B4" t="s">
        <v>181</v>
      </c>
      <c r="C4">
        <v>1</v>
      </c>
      <c r="D4" t="str">
        <f t="shared" ref="D4:D13" si="0">IF(C4 = K$3, J$3, IF(C4 = K$4, J$4, J$5))&amp;B4</f>
        <v>Art/Textures/UI/Item/Parrying Dagger</v>
      </c>
      <c r="I4" t="s">
        <v>116</v>
      </c>
      <c r="J4" t="s">
        <v>223</v>
      </c>
      <c r="K4">
        <v>2</v>
      </c>
      <c r="M4" t="s">
        <v>110</v>
      </c>
    </row>
    <row r="5" spans="1:13" x14ac:dyDescent="0.45">
      <c r="A5">
        <v>3</v>
      </c>
      <c r="B5" t="s">
        <v>182</v>
      </c>
      <c r="C5">
        <v>1</v>
      </c>
      <c r="D5" t="str">
        <f t="shared" si="0"/>
        <v>Art/Textures/UI/Item/Rotten Ghru Dagger</v>
      </c>
      <c r="I5" t="s">
        <v>117</v>
      </c>
      <c r="J5" t="s">
        <v>223</v>
      </c>
      <c r="K5">
        <v>3</v>
      </c>
      <c r="M5" t="s">
        <v>111</v>
      </c>
    </row>
    <row r="6" spans="1:13" x14ac:dyDescent="0.45">
      <c r="A6">
        <v>4</v>
      </c>
      <c r="B6" t="s">
        <v>183</v>
      </c>
      <c r="C6">
        <v>1</v>
      </c>
      <c r="D6" t="str">
        <f t="shared" si="0"/>
        <v>Art/Textures/UI/Item/Shortsword</v>
      </c>
      <c r="E6" t="s">
        <v>199</v>
      </c>
      <c r="F6" t="s">
        <v>200</v>
      </c>
    </row>
    <row r="7" spans="1:13" x14ac:dyDescent="0.45">
      <c r="A7">
        <v>5</v>
      </c>
      <c r="B7" t="s">
        <v>193</v>
      </c>
      <c r="C7">
        <v>1</v>
      </c>
      <c r="D7" t="str">
        <f t="shared" si="0"/>
        <v>Art/Textures/UI/Item/Broadsword</v>
      </c>
      <c r="E7" t="s">
        <v>201</v>
      </c>
      <c r="F7" t="s">
        <v>202</v>
      </c>
    </row>
    <row r="8" spans="1:13" x14ac:dyDescent="0.45">
      <c r="A8">
        <v>6</v>
      </c>
      <c r="B8" t="s">
        <v>184</v>
      </c>
      <c r="C8">
        <v>1</v>
      </c>
      <c r="D8" t="str">
        <f t="shared" si="0"/>
        <v>Art/Textures/UI/Item/Broken Straight Sword</v>
      </c>
    </row>
    <row r="9" spans="1:13" x14ac:dyDescent="0.45">
      <c r="A9">
        <v>101</v>
      </c>
      <c r="B9" t="s">
        <v>188</v>
      </c>
      <c r="C9">
        <v>2</v>
      </c>
      <c r="D9" t="str">
        <f t="shared" si="0"/>
        <v>Art/Textures/UI/Item/Catarina Helm</v>
      </c>
      <c r="E9" t="s">
        <v>203</v>
      </c>
      <c r="F9" t="s">
        <v>204</v>
      </c>
    </row>
    <row r="10" spans="1:13" x14ac:dyDescent="0.45">
      <c r="A10">
        <v>102</v>
      </c>
      <c r="B10" t="s">
        <v>187</v>
      </c>
      <c r="C10">
        <v>2</v>
      </c>
      <c r="D10" t="str">
        <f t="shared" si="0"/>
        <v>Art/Textures/UI/Item/Catarina Armor</v>
      </c>
    </row>
    <row r="11" spans="1:13" x14ac:dyDescent="0.45">
      <c r="A11">
        <v>103</v>
      </c>
      <c r="B11" t="s">
        <v>186</v>
      </c>
      <c r="C11">
        <v>2</v>
      </c>
      <c r="D11" t="str">
        <f t="shared" si="0"/>
        <v>Art/Textures/UI/Item/Catarina Gauntlets</v>
      </c>
    </row>
    <row r="12" spans="1:13" x14ac:dyDescent="0.45">
      <c r="A12">
        <v>104</v>
      </c>
      <c r="B12" t="s">
        <v>185</v>
      </c>
      <c r="C12">
        <v>2</v>
      </c>
      <c r="D12" t="str">
        <f t="shared" si="0"/>
        <v>Art/Textures/UI/Item/Catarina Leggings</v>
      </c>
    </row>
    <row r="13" spans="1:13" x14ac:dyDescent="0.45">
      <c r="A13">
        <v>201</v>
      </c>
      <c r="B13" t="s">
        <v>190</v>
      </c>
      <c r="C13">
        <v>3</v>
      </c>
      <c r="D13" t="str">
        <f t="shared" si="0"/>
        <v>Art/Textures/UI/Item/Estus Flask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9"/>
  <sheetViews>
    <sheetView tabSelected="1" workbookViewId="0">
      <selection activeCell="G12" sqref="G12"/>
    </sheetView>
  </sheetViews>
  <sheetFormatPr defaultRowHeight="17" x14ac:dyDescent="0.45"/>
  <cols>
    <col min="2" max="2" width="13.08203125" bestFit="1" customWidth="1"/>
    <col min="3" max="3" width="12.83203125" bestFit="1" customWidth="1"/>
    <col min="4" max="4" width="21.75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30</v>
      </c>
      <c r="B1" t="s">
        <v>50</v>
      </c>
      <c r="C1" t="s">
        <v>90</v>
      </c>
      <c r="D1" t="s">
        <v>191</v>
      </c>
      <c r="E1" t="s">
        <v>205</v>
      </c>
    </row>
    <row r="2" spans="1:5" x14ac:dyDescent="0.45">
      <c r="A2" t="s">
        <v>18</v>
      </c>
      <c r="B2" t="s">
        <v>31</v>
      </c>
      <c r="C2" t="s">
        <v>91</v>
      </c>
      <c r="D2" t="s">
        <v>192</v>
      </c>
      <c r="E2" t="s">
        <v>206</v>
      </c>
    </row>
    <row r="3" spans="1:5" x14ac:dyDescent="0.45">
      <c r="A3">
        <v>1</v>
      </c>
      <c r="B3" t="s">
        <v>207</v>
      </c>
      <c r="C3">
        <v>1</v>
      </c>
      <c r="D3">
        <v>65</v>
      </c>
      <c r="E3">
        <v>0</v>
      </c>
    </row>
    <row r="4" spans="1:5" x14ac:dyDescent="0.45">
      <c r="A4">
        <v>2</v>
      </c>
      <c r="B4" t="s">
        <v>181</v>
      </c>
      <c r="C4">
        <v>1</v>
      </c>
      <c r="D4">
        <v>60</v>
      </c>
      <c r="E4">
        <v>0</v>
      </c>
    </row>
    <row r="5" spans="1:5" x14ac:dyDescent="0.45">
      <c r="A5">
        <v>3</v>
      </c>
      <c r="B5" t="s">
        <v>182</v>
      </c>
      <c r="C5">
        <v>1</v>
      </c>
      <c r="D5">
        <v>64</v>
      </c>
      <c r="E5">
        <v>0</v>
      </c>
    </row>
    <row r="6" spans="1:5" x14ac:dyDescent="0.45">
      <c r="A6">
        <v>4</v>
      </c>
      <c r="B6" t="s">
        <v>208</v>
      </c>
      <c r="C6">
        <v>2</v>
      </c>
      <c r="D6">
        <v>99</v>
      </c>
      <c r="E6">
        <v>0</v>
      </c>
    </row>
    <row r="7" spans="1:5" x14ac:dyDescent="0.45">
      <c r="A7">
        <v>5</v>
      </c>
      <c r="B7" t="s">
        <v>209</v>
      </c>
      <c r="C7">
        <v>2</v>
      </c>
      <c r="D7">
        <v>117</v>
      </c>
      <c r="E7">
        <v>0</v>
      </c>
    </row>
    <row r="8" spans="1:5" x14ac:dyDescent="0.45">
      <c r="A8">
        <v>6</v>
      </c>
      <c r="B8" t="s">
        <v>210</v>
      </c>
      <c r="C8">
        <v>2</v>
      </c>
      <c r="D8">
        <v>70</v>
      </c>
      <c r="E8">
        <v>0</v>
      </c>
    </row>
    <row r="9" spans="1:5" x14ac:dyDescent="0.45">
      <c r="A9">
        <v>7</v>
      </c>
      <c r="B9" t="s">
        <v>211</v>
      </c>
      <c r="C9">
        <v>25</v>
      </c>
      <c r="D9">
        <v>95</v>
      </c>
      <c r="E9">
        <v>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36EFC-A7A4-46BB-9EFF-A5367C45F8A4}">
  <dimension ref="A1:E2"/>
  <sheetViews>
    <sheetView workbookViewId="0">
      <selection activeCell="G18" sqref="G18"/>
    </sheetView>
  </sheetViews>
  <sheetFormatPr defaultRowHeight="17" x14ac:dyDescent="0.45"/>
  <cols>
    <col min="1" max="1" width="6.6640625" bestFit="1" customWidth="1"/>
    <col min="2" max="2" width="6.08203125" bestFit="1" customWidth="1"/>
    <col min="3" max="3" width="12.25" bestFit="1" customWidth="1"/>
    <col min="4" max="4" width="7.6640625" bestFit="1" customWidth="1"/>
    <col min="5" max="5" width="17.5" bestFit="1" customWidth="1"/>
  </cols>
  <sheetData>
    <row r="1" spans="1:5" x14ac:dyDescent="0.45">
      <c r="A1" t="s">
        <v>30</v>
      </c>
      <c r="B1" t="s">
        <v>50</v>
      </c>
      <c r="C1" t="s">
        <v>225</v>
      </c>
      <c r="D1" t="s">
        <v>191</v>
      </c>
      <c r="E1" t="s">
        <v>205</v>
      </c>
    </row>
    <row r="2" spans="1:5" x14ac:dyDescent="0.45">
      <c r="A2" t="s">
        <v>18</v>
      </c>
      <c r="B2" t="s">
        <v>31</v>
      </c>
      <c r="C2" t="s">
        <v>224</v>
      </c>
      <c r="D2" t="s">
        <v>192</v>
      </c>
      <c r="E2" t="s">
        <v>206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D6"/>
  <sheetViews>
    <sheetView workbookViewId="0">
      <selection activeCell="D1" sqref="D1"/>
    </sheetView>
  </sheetViews>
  <sheetFormatPr defaultRowHeight="17" x14ac:dyDescent="0.45"/>
  <cols>
    <col min="2" max="2" width="18.08203125" bestFit="1" customWidth="1"/>
    <col min="3" max="3" width="9.5" bestFit="1" customWidth="1"/>
    <col min="4" max="4" width="24.58203125" bestFit="1" customWidth="1"/>
    <col min="5" max="5" width="35.08203125" bestFit="1" customWidth="1"/>
  </cols>
  <sheetData>
    <row r="1" spans="1:4" x14ac:dyDescent="0.45">
      <c r="A1" t="s">
        <v>30</v>
      </c>
      <c r="B1" t="s">
        <v>50</v>
      </c>
      <c r="C1" t="s">
        <v>198</v>
      </c>
      <c r="D1" t="s">
        <v>195</v>
      </c>
    </row>
    <row r="2" spans="1:4" x14ac:dyDescent="0.45">
      <c r="A2" t="s">
        <v>18</v>
      </c>
      <c r="B2" t="s">
        <v>31</v>
      </c>
      <c r="C2" t="s">
        <v>101</v>
      </c>
      <c r="D2" t="s">
        <v>196</v>
      </c>
    </row>
    <row r="3" spans="1:4" x14ac:dyDescent="0.45">
      <c r="A3">
        <v>101</v>
      </c>
      <c r="B3" t="s">
        <v>194</v>
      </c>
      <c r="C3">
        <v>1</v>
      </c>
      <c r="D3">
        <v>5.4</v>
      </c>
    </row>
    <row r="4" spans="1:4" x14ac:dyDescent="0.45">
      <c r="A4">
        <v>102</v>
      </c>
      <c r="B4" t="s">
        <v>187</v>
      </c>
      <c r="C4">
        <v>2</v>
      </c>
      <c r="D4">
        <v>18.3</v>
      </c>
    </row>
    <row r="5" spans="1:4" x14ac:dyDescent="0.45">
      <c r="A5">
        <v>103</v>
      </c>
      <c r="B5" t="s">
        <v>186</v>
      </c>
      <c r="C5">
        <v>4</v>
      </c>
      <c r="D5">
        <v>3.8</v>
      </c>
    </row>
    <row r="6" spans="1:4" x14ac:dyDescent="0.45">
      <c r="A6">
        <v>104</v>
      </c>
      <c r="B6" t="s">
        <v>185</v>
      </c>
      <c r="C6">
        <v>5</v>
      </c>
      <c r="D6">
        <v>8.5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D3" sqref="D3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30</v>
      </c>
      <c r="B1" t="s">
        <v>50</v>
      </c>
      <c r="C1" t="s">
        <v>92</v>
      </c>
      <c r="D1" t="s">
        <v>94</v>
      </c>
      <c r="E1" t="s">
        <v>106</v>
      </c>
    </row>
    <row r="2" spans="1:5" x14ac:dyDescent="0.45">
      <c r="A2" t="s">
        <v>18</v>
      </c>
      <c r="B2" t="s">
        <v>31</v>
      </c>
      <c r="C2" t="s">
        <v>93</v>
      </c>
      <c r="D2" t="s">
        <v>95</v>
      </c>
      <c r="E2" t="s">
        <v>107</v>
      </c>
    </row>
    <row r="3" spans="1:5" x14ac:dyDescent="0.45">
      <c r="A3">
        <v>201</v>
      </c>
      <c r="B3" t="s">
        <v>189</v>
      </c>
      <c r="C3">
        <v>2</v>
      </c>
      <c r="D3">
        <v>250</v>
      </c>
      <c r="E3">
        <v>1</v>
      </c>
    </row>
    <row r="4" spans="1:5" x14ac:dyDescent="0.45">
      <c r="A4">
        <v>202</v>
      </c>
      <c r="B4" t="s">
        <v>197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7" x14ac:dyDescent="0.45"/>
  <cols>
    <col min="2" max="2" width="11.25" bestFit="1" customWidth="1"/>
    <col min="3" max="3" width="28.58203125" bestFit="1" customWidth="1"/>
    <col min="4" max="4" width="9" customWidth="1"/>
  </cols>
  <sheetData>
    <row r="1" spans="1:4" x14ac:dyDescent="0.45">
      <c r="A1" t="s">
        <v>30</v>
      </c>
      <c r="B1" t="s">
        <v>159</v>
      </c>
      <c r="C1" t="s">
        <v>158</v>
      </c>
      <c r="D1" t="s">
        <v>161</v>
      </c>
    </row>
    <row r="2" spans="1:4" x14ac:dyDescent="0.45">
      <c r="A2" t="s">
        <v>125</v>
      </c>
      <c r="B2" t="s">
        <v>160</v>
      </c>
      <c r="C2" t="s">
        <v>22</v>
      </c>
      <c r="D2" t="s">
        <v>162</v>
      </c>
    </row>
    <row r="3" spans="1:4" x14ac:dyDescent="0.45">
      <c r="A3">
        <v>1</v>
      </c>
      <c r="B3">
        <v>2</v>
      </c>
      <c r="C3" t="s">
        <v>164</v>
      </c>
      <c r="D3" t="s">
        <v>163</v>
      </c>
    </row>
    <row r="4" spans="1:4" x14ac:dyDescent="0.45">
      <c r="A4">
        <v>2</v>
      </c>
      <c r="B4">
        <v>3</v>
      </c>
      <c r="C4" t="s">
        <v>165</v>
      </c>
    </row>
    <row r="5" spans="1:4" x14ac:dyDescent="0.45">
      <c r="A5">
        <v>3</v>
      </c>
      <c r="B5">
        <v>0</v>
      </c>
    </row>
    <row r="6" spans="1:4" x14ac:dyDescent="0.45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sqref="A1:D10"/>
    </sheetView>
  </sheetViews>
  <sheetFormatPr defaultRowHeight="17" x14ac:dyDescent="0.45"/>
  <cols>
    <col min="2" max="2" width="13.75" bestFit="1" customWidth="1"/>
    <col min="3" max="3" width="8.5" customWidth="1"/>
    <col min="4" max="4" width="6.75" bestFit="1" customWidth="1"/>
  </cols>
  <sheetData>
    <row r="1" spans="1:4" x14ac:dyDescent="0.45">
      <c r="A1" t="s">
        <v>30</v>
      </c>
      <c r="B1" t="s">
        <v>166</v>
      </c>
      <c r="C1" t="s">
        <v>167</v>
      </c>
      <c r="D1" t="s">
        <v>168</v>
      </c>
    </row>
    <row r="2" spans="1:4" x14ac:dyDescent="0.45">
      <c r="A2" t="s">
        <v>125</v>
      </c>
      <c r="B2" t="s">
        <v>169</v>
      </c>
      <c r="C2" t="s">
        <v>170</v>
      </c>
      <c r="D2" t="s">
        <v>123</v>
      </c>
    </row>
    <row r="3" spans="1:4" x14ac:dyDescent="0.45">
      <c r="A3">
        <v>1</v>
      </c>
      <c r="B3">
        <v>1</v>
      </c>
      <c r="C3">
        <v>100</v>
      </c>
      <c r="D3">
        <v>1</v>
      </c>
    </row>
    <row r="4" spans="1:4" x14ac:dyDescent="0.45">
      <c r="A4">
        <v>2</v>
      </c>
      <c r="B4">
        <v>2</v>
      </c>
      <c r="C4">
        <v>100</v>
      </c>
      <c r="D4">
        <v>1</v>
      </c>
    </row>
    <row r="5" spans="1:4" x14ac:dyDescent="0.45">
      <c r="A5">
        <v>3</v>
      </c>
      <c r="B5">
        <v>101</v>
      </c>
      <c r="C5">
        <v>150</v>
      </c>
      <c r="D5">
        <v>1</v>
      </c>
    </row>
    <row r="6" spans="1:4" x14ac:dyDescent="0.45">
      <c r="A6">
        <v>4</v>
      </c>
      <c r="B6">
        <v>102</v>
      </c>
      <c r="C6">
        <v>150</v>
      </c>
      <c r="D6">
        <v>1</v>
      </c>
    </row>
    <row r="7" spans="1:4" x14ac:dyDescent="0.45">
      <c r="A7">
        <v>5</v>
      </c>
      <c r="B7">
        <v>103</v>
      </c>
      <c r="C7">
        <v>150</v>
      </c>
      <c r="D7">
        <v>1</v>
      </c>
    </row>
    <row r="8" spans="1:4" x14ac:dyDescent="0.45">
      <c r="A8">
        <v>6</v>
      </c>
      <c r="B8">
        <v>104</v>
      </c>
      <c r="C8">
        <v>150</v>
      </c>
      <c r="D8">
        <v>1</v>
      </c>
    </row>
    <row r="9" spans="1:4" x14ac:dyDescent="0.45">
      <c r="A9">
        <v>7</v>
      </c>
      <c r="B9">
        <v>201</v>
      </c>
      <c r="C9">
        <v>10</v>
      </c>
      <c r="D9">
        <v>5</v>
      </c>
    </row>
    <row r="10" spans="1:4" x14ac:dyDescent="0.45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Shield</vt:lpstr>
      <vt:lpstr>Armor</vt:lpstr>
      <vt:lpstr>Consumable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2023-04-07T08:20:06Z</dcterms:modified>
</cp:coreProperties>
</file>